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Usuario iTC\Downloads\"/>
    </mc:Choice>
  </mc:AlternateContent>
  <xr:revisionPtr revIDLastSave="0" documentId="13_ncr:1_{4CF79828-D4B3-45DB-ADA7-C305C266C68B}" xr6:coauthVersionLast="47" xr6:coauthVersionMax="47" xr10:uidLastSave="{00000000-0000-0000-0000-000000000000}"/>
  <bookViews>
    <workbookView xWindow="-120" yWindow="-120" windowWidth="29040" windowHeight="15720" activeTab="6" xr2:uid="{00000000-000D-0000-FFFF-FFFF00000000}"/>
  </bookViews>
  <sheets>
    <sheet name="RESUMEN DIPLOMADO" sheetId="1" r:id="rId1"/>
    <sheet name="MODULO 1 " sheetId="2" state="hidden" r:id="rId2"/>
    <sheet name="Plan de Clase M1" sheetId="3" state="hidden" r:id="rId3"/>
    <sheet name="MODULO 2 " sheetId="4" state="hidden" r:id="rId4"/>
    <sheet name="Plan de Clase M2" sheetId="5" state="hidden" r:id="rId5"/>
    <sheet name="MODULO 3" sheetId="6" r:id="rId6"/>
    <sheet name="Plan de Clase M3" sheetId="7" r:id="rId7"/>
    <sheet name="MODULO 4" sheetId="8" r:id="rId8"/>
    <sheet name="Plan de Clase M4" sheetId="9" r:id="rId9"/>
    <sheet name="MODULO 5" sheetId="10" r:id="rId10"/>
    <sheet name="Plan de Clase M5" sheetId="11" r:id="rId11"/>
    <sheet name="MODULO 6" sheetId="12" r:id="rId12"/>
    <sheet name="Plan de Clase M6" sheetId="13" r:id="rId13"/>
    <sheet name="MODULO 7" sheetId="14" r:id="rId14"/>
    <sheet name="Plan de Clase M7" sheetId="15" r:id="rId15"/>
    <sheet name="MODULO 8" sheetId="16" r:id="rId16"/>
    <sheet name="Plan de Clase M8" sheetId="17" r:id="rId17"/>
    <sheet name="Cronograma" sheetId="18" r:id="rId18"/>
    <sheet name="LISTAS-OCULTAR"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fp3C28sEgo1HEc5OU5M08IdBzYgnxJMdLck2SO27+TQ="/>
    </ext>
  </extLst>
</workbook>
</file>

<file path=xl/calcChain.xml><?xml version="1.0" encoding="utf-8"?>
<calcChain xmlns="http://schemas.openxmlformats.org/spreadsheetml/2006/main">
  <c r="D13" i="18" l="1"/>
  <c r="A13" i="18"/>
  <c r="D12" i="18"/>
  <c r="A12" i="18"/>
  <c r="D11" i="18"/>
  <c r="A11" i="18"/>
  <c r="D10" i="18"/>
  <c r="A10" i="18"/>
  <c r="D9" i="18"/>
  <c r="D8" i="18"/>
  <c r="A8" i="18"/>
  <c r="D7" i="18"/>
  <c r="D6" i="18"/>
  <c r="I42" i="17"/>
  <c r="I41" i="17"/>
  <c r="I40" i="17"/>
  <c r="I39" i="17"/>
  <c r="I38" i="17"/>
  <c r="B36" i="17"/>
  <c r="E35" i="17"/>
  <c r="E34" i="17"/>
  <c r="E33" i="17"/>
  <c r="E32" i="17"/>
  <c r="E31" i="17"/>
  <c r="A31" i="17"/>
  <c r="E30" i="17"/>
  <c r="E29" i="17"/>
  <c r="E28" i="17"/>
  <c r="E27" i="17"/>
  <c r="E26" i="17"/>
  <c r="A26" i="17"/>
  <c r="E25" i="17"/>
  <c r="E24" i="17"/>
  <c r="E23" i="17"/>
  <c r="E22" i="17"/>
  <c r="E21" i="17"/>
  <c r="A21" i="17"/>
  <c r="E20" i="17"/>
  <c r="E19" i="17"/>
  <c r="E18" i="17"/>
  <c r="E17" i="17"/>
  <c r="E16" i="17"/>
  <c r="A16" i="17"/>
  <c r="E15" i="17"/>
  <c r="E14" i="17"/>
  <c r="E13" i="17"/>
  <c r="E12" i="17"/>
  <c r="E11" i="17"/>
  <c r="A10" i="17"/>
  <c r="B9" i="17"/>
  <c r="B8" i="17"/>
  <c r="H6" i="17"/>
  <c r="B6" i="17"/>
  <c r="H5" i="17"/>
  <c r="B5" i="17"/>
  <c r="B4" i="17"/>
  <c r="H4" i="16"/>
  <c r="B4" i="16"/>
  <c r="I42" i="15"/>
  <c r="I41" i="15"/>
  <c r="I40" i="15"/>
  <c r="I39" i="15"/>
  <c r="I38" i="15"/>
  <c r="B36" i="15"/>
  <c r="E35" i="15"/>
  <c r="E34" i="15"/>
  <c r="E33" i="15"/>
  <c r="E32" i="15"/>
  <c r="E31" i="15"/>
  <c r="A31" i="15"/>
  <c r="E30" i="15"/>
  <c r="E29" i="15"/>
  <c r="E28" i="15"/>
  <c r="E27" i="15"/>
  <c r="E26" i="15"/>
  <c r="A26" i="15"/>
  <c r="E25" i="15"/>
  <c r="E24" i="15"/>
  <c r="E23" i="15"/>
  <c r="E22" i="15"/>
  <c r="E21" i="15"/>
  <c r="A21" i="15"/>
  <c r="E20" i="15"/>
  <c r="E19" i="15"/>
  <c r="E18" i="15"/>
  <c r="E17" i="15"/>
  <c r="E16" i="15"/>
  <c r="A16" i="15"/>
  <c r="E15" i="15"/>
  <c r="E14" i="15"/>
  <c r="E13" i="15"/>
  <c r="E12" i="15"/>
  <c r="E11" i="15"/>
  <c r="A10" i="15"/>
  <c r="B9" i="15"/>
  <c r="B8" i="15"/>
  <c r="H6" i="15"/>
  <c r="B6" i="15"/>
  <c r="H5" i="15"/>
  <c r="B5" i="15"/>
  <c r="B4" i="15"/>
  <c r="H4" i="14"/>
  <c r="B4" i="14"/>
  <c r="I42" i="13"/>
  <c r="I41" i="13"/>
  <c r="I40" i="13"/>
  <c r="I39" i="13"/>
  <c r="I38" i="13"/>
  <c r="B36" i="13"/>
  <c r="E35" i="13"/>
  <c r="E34" i="13"/>
  <c r="E33" i="13"/>
  <c r="E32" i="13"/>
  <c r="E31" i="13"/>
  <c r="A31" i="13"/>
  <c r="E30" i="13"/>
  <c r="E29" i="13"/>
  <c r="E28" i="13"/>
  <c r="E27" i="13"/>
  <c r="E26" i="13"/>
  <c r="A26" i="13"/>
  <c r="E25" i="13"/>
  <c r="E24" i="13"/>
  <c r="E23" i="13"/>
  <c r="E22" i="13"/>
  <c r="E21" i="13"/>
  <c r="A21" i="13"/>
  <c r="E20" i="13"/>
  <c r="E19" i="13"/>
  <c r="E18" i="13"/>
  <c r="E17" i="13"/>
  <c r="E16" i="13"/>
  <c r="A16" i="13"/>
  <c r="E15" i="13"/>
  <c r="E14" i="13"/>
  <c r="E13" i="13"/>
  <c r="E12" i="13"/>
  <c r="E11" i="13"/>
  <c r="A10" i="13"/>
  <c r="B9" i="13"/>
  <c r="B8" i="13"/>
  <c r="H6" i="13"/>
  <c r="B6" i="13"/>
  <c r="H5" i="13"/>
  <c r="B5" i="13"/>
  <c r="B4" i="13"/>
  <c r="H4" i="12"/>
  <c r="B4" i="12"/>
  <c r="I42" i="11"/>
  <c r="I41" i="11"/>
  <c r="I40" i="11"/>
  <c r="I39" i="11"/>
  <c r="I38" i="11"/>
  <c r="I43" i="11" s="1"/>
  <c r="B36" i="11"/>
  <c r="E35" i="11"/>
  <c r="E34" i="11"/>
  <c r="E33" i="11"/>
  <c r="E32" i="11"/>
  <c r="E31" i="11"/>
  <c r="A31" i="11"/>
  <c r="E30" i="11"/>
  <c r="E29" i="11"/>
  <c r="E28" i="11"/>
  <c r="E27" i="11"/>
  <c r="E26" i="11"/>
  <c r="A26" i="11"/>
  <c r="E25" i="11"/>
  <c r="E24" i="11"/>
  <c r="E23" i="11"/>
  <c r="E22" i="11"/>
  <c r="E21" i="11"/>
  <c r="A21" i="11"/>
  <c r="E20" i="11"/>
  <c r="E19" i="11"/>
  <c r="E18" i="11"/>
  <c r="E17" i="11"/>
  <c r="E16" i="11"/>
  <c r="A16" i="11"/>
  <c r="E15" i="11"/>
  <c r="E14" i="11"/>
  <c r="E13" i="11"/>
  <c r="E12" i="11"/>
  <c r="E11" i="11"/>
  <c r="A10" i="11"/>
  <c r="B9" i="11"/>
  <c r="B8" i="11"/>
  <c r="H6" i="11"/>
  <c r="B6" i="11"/>
  <c r="H5" i="11"/>
  <c r="B5" i="11"/>
  <c r="B4" i="11"/>
  <c r="H4" i="10"/>
  <c r="B4" i="10"/>
  <c r="I42" i="9"/>
  <c r="I41" i="9"/>
  <c r="I40" i="9"/>
  <c r="I39" i="9"/>
  <c r="I38" i="9"/>
  <c r="B36" i="9"/>
  <c r="E35" i="9"/>
  <c r="E34" i="9"/>
  <c r="E33" i="9"/>
  <c r="E32" i="9"/>
  <c r="E31" i="9"/>
  <c r="A31" i="9"/>
  <c r="E30" i="9"/>
  <c r="E29" i="9"/>
  <c r="E28" i="9"/>
  <c r="E27" i="9"/>
  <c r="E26" i="9"/>
  <c r="A26" i="9"/>
  <c r="E25" i="9"/>
  <c r="E24" i="9"/>
  <c r="E23" i="9"/>
  <c r="E22" i="9"/>
  <c r="E21" i="9"/>
  <c r="A21" i="9"/>
  <c r="E20" i="9"/>
  <c r="E19" i="9"/>
  <c r="E18" i="9"/>
  <c r="E17" i="9"/>
  <c r="E16" i="9"/>
  <c r="A16" i="9"/>
  <c r="E15" i="9"/>
  <c r="E14" i="9"/>
  <c r="E13" i="9"/>
  <c r="E12" i="9"/>
  <c r="E11" i="9"/>
  <c r="A10" i="9"/>
  <c r="B9" i="9"/>
  <c r="B8" i="9"/>
  <c r="H6" i="9"/>
  <c r="B6" i="9"/>
  <c r="H5" i="9"/>
  <c r="B5" i="9"/>
  <c r="B4" i="9"/>
  <c r="H4" i="8"/>
  <c r="B4" i="8"/>
  <c r="I42" i="7"/>
  <c r="I41" i="7"/>
  <c r="I40" i="7"/>
  <c r="I39" i="7"/>
  <c r="I38" i="7"/>
  <c r="B36" i="7"/>
  <c r="E35" i="7"/>
  <c r="E34" i="7"/>
  <c r="E33" i="7"/>
  <c r="E32" i="7"/>
  <c r="E31" i="7"/>
  <c r="A31" i="7"/>
  <c r="E30" i="7"/>
  <c r="E29" i="7"/>
  <c r="E28" i="7"/>
  <c r="E27" i="7"/>
  <c r="E26" i="7"/>
  <c r="A26" i="7"/>
  <c r="E25" i="7"/>
  <c r="E24" i="7"/>
  <c r="E23" i="7"/>
  <c r="E22" i="7"/>
  <c r="E21" i="7"/>
  <c r="A21" i="7"/>
  <c r="E20" i="7"/>
  <c r="E19" i="7"/>
  <c r="E18" i="7"/>
  <c r="E17" i="7"/>
  <c r="E16" i="7"/>
  <c r="A16" i="7"/>
  <c r="E15" i="7"/>
  <c r="E14" i="7"/>
  <c r="E13" i="7"/>
  <c r="E12" i="7"/>
  <c r="E11" i="7"/>
  <c r="A10" i="7"/>
  <c r="B9" i="7"/>
  <c r="B8" i="7"/>
  <c r="H6" i="7"/>
  <c r="B6" i="7"/>
  <c r="H5" i="7"/>
  <c r="B5" i="7"/>
  <c r="B4" i="7"/>
  <c r="H4" i="6"/>
  <c r="B4" i="6"/>
  <c r="I42" i="5"/>
  <c r="I41" i="5"/>
  <c r="I40" i="5"/>
  <c r="I39" i="5"/>
  <c r="I38" i="5"/>
  <c r="B36" i="5"/>
  <c r="E35" i="5"/>
  <c r="E34" i="5"/>
  <c r="E33" i="5"/>
  <c r="E32" i="5"/>
  <c r="E31" i="5"/>
  <c r="A31" i="5"/>
  <c r="E30" i="5"/>
  <c r="E29" i="5"/>
  <c r="E28" i="5"/>
  <c r="E27" i="5"/>
  <c r="E26" i="5"/>
  <c r="A26" i="5"/>
  <c r="E25" i="5"/>
  <c r="E24" i="5"/>
  <c r="E23" i="5"/>
  <c r="E22" i="5"/>
  <c r="E21" i="5"/>
  <c r="A21" i="5"/>
  <c r="E20" i="5"/>
  <c r="E19" i="5"/>
  <c r="E18" i="5"/>
  <c r="E17" i="5"/>
  <c r="E16" i="5"/>
  <c r="A16" i="5"/>
  <c r="E15" i="5"/>
  <c r="E14" i="5"/>
  <c r="E13" i="5"/>
  <c r="E12" i="5"/>
  <c r="E11" i="5"/>
  <c r="A10" i="5"/>
  <c r="B9" i="5"/>
  <c r="B8" i="5"/>
  <c r="H6" i="5"/>
  <c r="B6" i="5"/>
  <c r="H5" i="5"/>
  <c r="B5" i="5"/>
  <c r="B4" i="5"/>
  <c r="H4" i="4"/>
  <c r="B4" i="4"/>
  <c r="I42" i="3"/>
  <c r="I41" i="3"/>
  <c r="I40" i="3"/>
  <c r="I39" i="3"/>
  <c r="I38" i="3"/>
  <c r="B36" i="3"/>
  <c r="E35" i="3"/>
  <c r="E34" i="3"/>
  <c r="E33" i="3"/>
  <c r="E32" i="3"/>
  <c r="E31" i="3"/>
  <c r="A31" i="3"/>
  <c r="E30" i="3"/>
  <c r="E29" i="3"/>
  <c r="E28" i="3"/>
  <c r="E27" i="3"/>
  <c r="E26" i="3"/>
  <c r="A26" i="3"/>
  <c r="E25" i="3"/>
  <c r="E24" i="3"/>
  <c r="E23" i="3"/>
  <c r="E22" i="3"/>
  <c r="E21" i="3"/>
  <c r="A21" i="3"/>
  <c r="E20" i="3"/>
  <c r="E19" i="3"/>
  <c r="E18" i="3"/>
  <c r="E17" i="3"/>
  <c r="E16" i="3"/>
  <c r="A16" i="3"/>
  <c r="E15" i="3"/>
  <c r="E14" i="3"/>
  <c r="E13" i="3"/>
  <c r="E12" i="3"/>
  <c r="E11" i="3"/>
  <c r="A10" i="3"/>
  <c r="B9" i="3"/>
  <c r="B8" i="3"/>
  <c r="H6" i="3"/>
  <c r="B6" i="3"/>
  <c r="H5" i="3"/>
  <c r="B4" i="3"/>
  <c r="B4" i="2"/>
  <c r="B5" i="3" s="1"/>
  <c r="S39" i="1"/>
  <c r="P39" i="1"/>
  <c r="M39" i="1"/>
  <c r="J39" i="1"/>
  <c r="G39" i="1"/>
  <c r="D39" i="1"/>
  <c r="S38" i="1"/>
  <c r="P38" i="1"/>
  <c r="M38" i="1"/>
  <c r="J38" i="1"/>
  <c r="G38" i="1"/>
  <c r="D38" i="1"/>
  <c r="S37" i="1"/>
  <c r="P37" i="1"/>
  <c r="M37" i="1"/>
  <c r="J37" i="1"/>
  <c r="G37" i="1"/>
  <c r="D37" i="1"/>
  <c r="S36" i="1"/>
  <c r="P36" i="1"/>
  <c r="M36" i="1"/>
  <c r="J36" i="1"/>
  <c r="G36" i="1"/>
  <c r="D36" i="1"/>
  <c r="S35" i="1"/>
  <c r="Q35" i="1"/>
  <c r="P35" i="1"/>
  <c r="N35" i="1"/>
  <c r="M35" i="1"/>
  <c r="K35" i="1"/>
  <c r="J35" i="1"/>
  <c r="H35" i="1"/>
  <c r="G35" i="1"/>
  <c r="E35" i="1"/>
  <c r="D35" i="1"/>
  <c r="B35" i="1"/>
  <c r="S34" i="1"/>
  <c r="P34" i="1"/>
  <c r="M34" i="1"/>
  <c r="J34" i="1"/>
  <c r="G34" i="1"/>
  <c r="D34" i="1"/>
  <c r="S33" i="1"/>
  <c r="P33" i="1"/>
  <c r="M33" i="1"/>
  <c r="J33" i="1"/>
  <c r="G33" i="1"/>
  <c r="D33" i="1"/>
  <c r="S32" i="1"/>
  <c r="P32" i="1"/>
  <c r="M32" i="1"/>
  <c r="J32" i="1"/>
  <c r="G32" i="1"/>
  <c r="D32" i="1"/>
  <c r="S31" i="1"/>
  <c r="P31" i="1"/>
  <c r="M31" i="1"/>
  <c r="J31" i="1"/>
  <c r="G31" i="1"/>
  <c r="D31" i="1"/>
  <c r="S30" i="1"/>
  <c r="Q30" i="1"/>
  <c r="P30" i="1"/>
  <c r="N30" i="1"/>
  <c r="M30" i="1"/>
  <c r="K30" i="1"/>
  <c r="J30" i="1"/>
  <c r="H30" i="1"/>
  <c r="G30" i="1"/>
  <c r="E30" i="1"/>
  <c r="D30" i="1"/>
  <c r="B30" i="1"/>
  <c r="S29" i="1"/>
  <c r="P29" i="1"/>
  <c r="M29" i="1"/>
  <c r="J29" i="1"/>
  <c r="G29" i="1"/>
  <c r="D29" i="1"/>
  <c r="S28" i="1"/>
  <c r="P28" i="1"/>
  <c r="M28" i="1"/>
  <c r="J28" i="1"/>
  <c r="G28" i="1"/>
  <c r="D28" i="1"/>
  <c r="S27" i="1"/>
  <c r="P27" i="1"/>
  <c r="M27" i="1"/>
  <c r="J27" i="1"/>
  <c r="G27" i="1"/>
  <c r="D27" i="1"/>
  <c r="S26" i="1"/>
  <c r="P26" i="1"/>
  <c r="M26" i="1"/>
  <c r="J26" i="1"/>
  <c r="G26" i="1"/>
  <c r="D26" i="1"/>
  <c r="S25" i="1"/>
  <c r="Q25" i="1"/>
  <c r="P25" i="1"/>
  <c r="N25" i="1"/>
  <c r="M25" i="1"/>
  <c r="K25" i="1"/>
  <c r="J25" i="1"/>
  <c r="H25" i="1"/>
  <c r="G25" i="1"/>
  <c r="E25" i="1"/>
  <c r="D25" i="1"/>
  <c r="B25" i="1"/>
  <c r="S24" i="1"/>
  <c r="P24" i="1"/>
  <c r="M24" i="1"/>
  <c r="J24" i="1"/>
  <c r="G24" i="1"/>
  <c r="D24" i="1"/>
  <c r="S23" i="1"/>
  <c r="P23" i="1"/>
  <c r="M23" i="1"/>
  <c r="J23" i="1"/>
  <c r="G23" i="1"/>
  <c r="D23" i="1"/>
  <c r="S22" i="1"/>
  <c r="P22" i="1"/>
  <c r="M22" i="1"/>
  <c r="J22" i="1"/>
  <c r="G22" i="1"/>
  <c r="D22" i="1"/>
  <c r="S21" i="1"/>
  <c r="P21" i="1"/>
  <c r="M21" i="1"/>
  <c r="J21" i="1"/>
  <c r="G21" i="1"/>
  <c r="D21" i="1"/>
  <c r="S20" i="1"/>
  <c r="Q20" i="1"/>
  <c r="P20" i="1"/>
  <c r="N20" i="1"/>
  <c r="M20" i="1"/>
  <c r="K20" i="1"/>
  <c r="J20" i="1"/>
  <c r="H20" i="1"/>
  <c r="G20" i="1"/>
  <c r="E20" i="1"/>
  <c r="D20" i="1"/>
  <c r="B20" i="1"/>
  <c r="S19" i="1"/>
  <c r="P19" i="1"/>
  <c r="M19" i="1"/>
  <c r="J19" i="1"/>
  <c r="G19" i="1"/>
  <c r="D19" i="1"/>
  <c r="S18" i="1"/>
  <c r="P18" i="1"/>
  <c r="M18" i="1"/>
  <c r="J18" i="1"/>
  <c r="G18" i="1"/>
  <c r="D18" i="1"/>
  <c r="S17" i="1"/>
  <c r="P17" i="1"/>
  <c r="M17" i="1"/>
  <c r="J17" i="1"/>
  <c r="G17" i="1"/>
  <c r="D17" i="1"/>
  <c r="S16" i="1"/>
  <c r="P16" i="1"/>
  <c r="M16" i="1"/>
  <c r="J16" i="1"/>
  <c r="G16" i="1"/>
  <c r="D16" i="1"/>
  <c r="S15" i="1"/>
  <c r="Q15" i="1"/>
  <c r="P15" i="1"/>
  <c r="N15" i="1"/>
  <c r="M15" i="1"/>
  <c r="K15" i="1"/>
  <c r="J15" i="1"/>
  <c r="H15" i="1"/>
  <c r="G15" i="1"/>
  <c r="E15" i="1"/>
  <c r="D15" i="1"/>
  <c r="B15" i="1"/>
  <c r="Q14" i="1"/>
  <c r="N14" i="1"/>
  <c r="K14" i="1"/>
  <c r="H14" i="1"/>
  <c r="E14" i="1"/>
  <c r="B14" i="1"/>
  <c r="Q13" i="1"/>
  <c r="N13" i="1"/>
  <c r="K13" i="1"/>
  <c r="H13" i="1"/>
  <c r="E13" i="1"/>
  <c r="B13" i="1"/>
  <c r="Q12" i="1"/>
  <c r="N12" i="1"/>
  <c r="K12" i="1"/>
  <c r="H12" i="1"/>
  <c r="E12" i="1"/>
  <c r="B12" i="1"/>
  <c r="Q11" i="1"/>
  <c r="N11" i="1"/>
  <c r="K11" i="1"/>
  <c r="H11" i="1"/>
  <c r="E11" i="1"/>
  <c r="B11" i="1"/>
  <c r="Q10" i="1"/>
  <c r="N10" i="1"/>
  <c r="K10" i="1"/>
  <c r="A9" i="18" s="1"/>
  <c r="H10" i="1"/>
  <c r="E10" i="1"/>
  <c r="A7" i="18" s="1"/>
  <c r="B10" i="1"/>
  <c r="A6" i="18" s="1"/>
  <c r="I43" i="9" l="1"/>
  <c r="I43" i="3"/>
  <c r="I43" i="17"/>
  <c r="I43" i="7"/>
  <c r="I43" i="15"/>
  <c r="I43" i="5"/>
  <c r="I4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000-000001000000}">
      <text>
        <r>
          <rPr>
            <sz val="10"/>
            <color rgb="FF000000"/>
            <rFont val="Arial"/>
            <family val="2"/>
            <scheme val="minor"/>
          </rPr>
          <t>Ingrese el nombre del diplomado
======</t>
        </r>
      </text>
    </comment>
    <comment ref="B5" authorId="0" shapeId="0" xr:uid="{00000000-0006-0000-0000-00000A000000}">
      <text>
        <r>
          <rPr>
            <sz val="10"/>
            <color rgb="FF000000"/>
            <rFont val="Arial"/>
            <family val="2"/>
            <scheme val="minor"/>
          </rPr>
          <t>Aquí se debe incluir un texto claro, institucional y persuasivo que contextualice el programa, justifique su pertinencia y explique su valor formativo.
======</t>
        </r>
      </text>
    </comment>
    <comment ref="B6" authorId="0" shapeId="0" xr:uid="{00000000-0006-0000-0000-000009000000}">
      <text>
        <r>
          <rPr>
            <sz val="10"/>
            <color rgb="FF000000"/>
            <rFont val="Arial"/>
            <family val="2"/>
            <scheme val="minor"/>
          </rPr>
          <t>Escriba el perfil del público objetivo (personal operativo, ejecutivos, mandos medios, según corresponda).
======</t>
        </r>
      </text>
    </comment>
    <comment ref="B9" authorId="0" shapeId="0" xr:uid="{00000000-0006-0000-0000-000007000000}">
      <text>
        <r>
          <rPr>
            <sz val="10"/>
            <color rgb="FF000000"/>
            <rFont val="Arial"/>
            <family val="2"/>
            <scheme val="minor"/>
          </rPr>
          <t>Redactar siguiendo la estructura: Verbo en infinitivo + objeto (contenido) + condición (situación de contexto) + resultado esperado.
======</t>
        </r>
      </text>
    </comment>
    <comment ref="B10" authorId="0" shapeId="0" xr:uid="{00000000-0006-0000-0000-000005000000}">
      <text>
        <r>
          <rPr>
            <sz val="10"/>
            <color rgb="FF000000"/>
            <rFont val="Arial"/>
            <family val="2"/>
            <scheme val="minor"/>
          </rPr>
          <t>No escribir
======</t>
        </r>
      </text>
    </comment>
    <comment ref="D15" authorId="0" shapeId="0" xr:uid="{00000000-0006-0000-0000-000004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G15" authorId="0" shapeId="0" xr:uid="{00000000-0006-0000-00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J15" authorId="0" shapeId="0" xr:uid="{00000000-0006-0000-0000-000008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M15" authorId="0" shapeId="0" xr:uid="{00000000-0006-0000-0000-00000B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P15" authorId="0" shapeId="0" xr:uid="{00000000-0006-0000-0000-000002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S15" authorId="0" shapeId="0" xr:uid="{00000000-0006-0000-0000-000003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1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1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1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1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1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1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1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1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1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1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1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100-000001000000}">
      <text>
        <r>
          <rPr>
            <sz val="10"/>
            <color rgb="FF000000"/>
            <rFont val="Arial"/>
            <family val="2"/>
            <scheme val="minor"/>
          </rPr>
          <t>No modifique esta informaciòn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2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3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3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3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3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3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3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3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3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3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3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3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300-000001000000}">
      <text>
        <r>
          <rPr>
            <sz val="10"/>
            <color rgb="FF000000"/>
            <rFont val="Arial"/>
            <family val="2"/>
            <scheme val="minor"/>
          </rPr>
          <t>No modifique esta informaciòn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4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5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5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5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5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5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5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5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5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5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5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5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500-000001000000}">
      <text>
        <r>
          <rPr>
            <sz val="10"/>
            <color rgb="FF000000"/>
            <rFont val="Arial"/>
            <family val="2"/>
            <scheme val="minor"/>
          </rPr>
          <t>No modifique esta informaciòn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6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7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7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7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7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7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7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7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7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7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7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7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700-000001000000}">
      <text>
        <r>
          <rPr>
            <sz val="10"/>
            <color rgb="FF000000"/>
            <rFont val="Arial"/>
            <family val="2"/>
            <scheme val="minor"/>
          </rPr>
          <t>No modifique esta informaciòn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8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9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9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9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9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9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9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9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9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9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9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9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900-000001000000}">
      <text>
        <r>
          <rPr>
            <sz val="10"/>
            <color rgb="FF000000"/>
            <rFont val="Arial"/>
            <family val="2"/>
            <scheme val="minor"/>
          </rPr>
          <t>No modifique esta informaciòn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A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B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B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B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B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B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B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B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B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B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B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B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B00-000001000000}">
      <text>
        <r>
          <rPr>
            <sz val="10"/>
            <color rgb="FF000000"/>
            <rFont val="Arial"/>
            <family val="2"/>
            <scheme val="minor"/>
          </rPr>
          <t>No modifique esta informaciòn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C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D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D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D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D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D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D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D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D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D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D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D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D00-000001000000}">
      <text>
        <r>
          <rPr>
            <sz val="10"/>
            <color rgb="FF000000"/>
            <rFont val="Arial"/>
            <family val="2"/>
            <scheme val="minor"/>
          </rPr>
          <t>No modifique esta informaciòn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E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F00-00000C000000}">
      <text>
        <r>
          <rPr>
            <sz val="10"/>
            <color rgb="FF000000"/>
            <rFont val="Arial"/>
            <family val="2"/>
            <scheme val="minor"/>
          </rPr>
          <t>Texto de aproximadamente 150 palabras que explique el propósito del curso. Incluye los beneficios para los participantes, la propuesta de valor, y el perfil de salida del estudiante (habilidades y conocimientos adquiridos).
======</t>
        </r>
      </text>
    </comment>
    <comment ref="B12" authorId="0" shapeId="0" xr:uid="{00000000-0006-0000-0F00-000004000000}">
      <text>
        <r>
          <rPr>
            <sz val="10"/>
            <color rgb="FF000000"/>
            <rFont val="Arial"/>
            <family val="2"/>
            <scheme val="minor"/>
          </rPr>
          <t>Los objetivos específicos son las metas concretas y medibles que se espera alcanzar en un plazo determinado de tiempo y siempre bajo las directrices de los objetivos generales. Describa máximo 3 objetivos específicos.
======</t>
        </r>
      </text>
    </comment>
    <comment ref="D13" authorId="0" shapeId="0" xr:uid="{00000000-0006-0000-0F00-000006000000}">
      <text>
        <r>
          <rPr>
            <sz val="10"/>
            <color rgb="FF000000"/>
            <rFont val="Arial"/>
            <family val="2"/>
            <scheme val="minor"/>
          </rPr>
          <t>Redacte el contenido en base al desarrollo de habilidades, conocimientos, conductas y/o competencias.
Priorice el pensamiento critico de los participantes. Plantee el contenido en base a preguntas.
Ejemplo: 
* Identificación de elementos para el proceso de transformación digital
* ¿Qué hace un Community Manager?
======</t>
        </r>
      </text>
    </comment>
    <comment ref="A38" authorId="0" shapeId="0" xr:uid="{00000000-0006-0000-0F00-00000A000000}">
      <text>
        <r>
          <rPr>
            <sz val="10"/>
            <color rgb="FF000000"/>
            <rFont val="Arial"/>
            <family val="2"/>
            <scheme val="minor"/>
          </rPr>
          <t>Aplique metodologías activas de enseñanza – aprendizaje que busquen provocar cambios en el aula, que permitan pasar de un aprendizaje memorístico a uno interactivo, de comunicación permanente, de profesor a estudiante y estudiante a estudiante, entre otros actores. Ejemplo: Flipped Classroom, ABP (Proyectos), ABP (Problemas), Aprendizaje Cooperativo, Design Thinking, Gamificación, Aprendizaje Basado en el Pensamiento (Thinking Based Learning), Aprendizaje Basado en Competencias, ERCA, KOLB, etc. Explique cómo se desarrollarán dentro del curso.
======</t>
        </r>
      </text>
    </comment>
    <comment ref="B39" authorId="0" shapeId="0" xr:uid="{00000000-0006-0000-0F00-00000B000000}">
      <text>
        <r>
          <rPr>
            <sz val="10"/>
            <color rgb="FF000000"/>
            <rFont val="Arial"/>
            <family val="2"/>
            <scheme val="minor"/>
          </rPr>
          <t>Permite conocer las habilidades y conocimientos previos sobre diferentes temas. No tiene un peso en nota académica. Se pueden plantear todas las diagnósticas que se crea conveniente. También se considera diagnóstica a las actividades iniciales de sondeo, conocimiento de expectativas, comunidades de aprendizaje, lluvia de ideas, etc.
======</t>
        </r>
      </text>
    </comment>
    <comment ref="B40" authorId="0" shapeId="0" xr:uid="{00000000-0006-0000-0F00-000009000000}">
      <text>
        <r>
          <rPr>
            <sz val="10"/>
            <color rgb="FF000000"/>
            <rFont val="Arial"/>
            <family val="2"/>
            <scheme val="minor"/>
          </rPr>
          <t>Proceso permanente y sistemático en el que se recoge y analiza información para conocer y valorar los procesos de aprendizaje y los niveles de avance en el desarrollo de las competencias. Es necesario presentar evidencia de las formativas planteadas (tienen un peso de nota hasta del 60% u 80% del promedio total.
======</t>
        </r>
      </text>
    </comment>
    <comment ref="B41" authorId="0" shapeId="0" xr:uid="{00000000-0006-0000-0F00-000008000000}">
      <text>
        <r>
          <rPr>
            <sz val="10"/>
            <color rgb="FF000000"/>
            <rFont val="Arial"/>
            <family val="2"/>
            <scheme val="minor"/>
          </rPr>
          <t>Tiene como función determinar el grado de consecución de los aprendizajes obtenidos en relación con los objetivos fijados para el curso. Se realiza al final del proceso de enseñanza-aprendizaje, y se vincula a la calificación final. (Es necesario entregar evidencia de este proceso de aprendizaje)
======</t>
        </r>
      </text>
    </comment>
    <comment ref="A42" authorId="0" shapeId="0" xr:uid="{00000000-0006-0000-0F00-000007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 ref="A43" authorId="0" shapeId="0" xr:uid="{00000000-0006-0000-0F00-000005000000}">
      <text>
        <r>
          <rPr>
            <sz val="10"/>
            <color rgb="FF000000"/>
            <rFont val="Arial"/>
            <family val="2"/>
            <scheme val="minor"/>
          </rPr>
          <t>Material didáctico que facilita la enseñanza y el aprendizaje, utilizados dentro del ambiente educativo para la adquisición de conceptos, habilidades, actitudes y destrezas. 
Ejemplo: 
- Presentación en Genially, Prezi, Power Point, infografías, entre otras.
- Pizarrón, marcadores, libros, folletos, PDF, textos, calculadora, etc.
======</t>
        </r>
      </text>
    </comment>
    <comment ref="A44" authorId="0" shapeId="0" xr:uid="{00000000-0006-0000-0F00-000003000000}">
      <text>
        <r>
          <rPr>
            <sz val="10"/>
            <color rgb="FF000000"/>
            <rFont val="Arial"/>
            <family val="2"/>
            <scheme val="minor"/>
          </rPr>
          <t>Todos los componentes físicos de una computadora, todo lo visible y tangible que se relacione con la entrada, procesamiento, salida y almacenamiento que necesita para ejecutar el curso. 
Ejemplo: 
Monitores o pantallas, cámaras de video, procesador, tarjeta de red, módulos de Memoria RAM, etc.
======</t>
        </r>
      </text>
    </comment>
    <comment ref="A45" authorId="0" shapeId="0" xr:uid="{00000000-0006-0000-0F00-000002000000}">
      <text>
        <r>
          <rPr>
            <sz val="10"/>
            <color rgb="FF000000"/>
            <rFont val="Arial"/>
            <family val="2"/>
            <scheme val="minor"/>
          </rPr>
          <t>Todos los recursos del sistema, es decir cualquier componente físico o virtual de disponibilidad limitada en un sistema informático que necesite para el desarrollo del curso.
Ejemplo: 
Adobe Photoshop, Paintshop, GIMP, Microsoft Windows, Webex, Zoom, Mozilla Firefox, Google Chrome, entre otros.
======</t>
        </r>
      </text>
    </comment>
    <comment ref="A51" authorId="0" shapeId="0" xr:uid="{00000000-0006-0000-0F00-000001000000}">
      <text>
        <r>
          <rPr>
            <sz val="10"/>
            <color rgb="FF000000"/>
            <rFont val="Arial"/>
            <family val="2"/>
            <scheme val="minor"/>
          </rPr>
          <t>No modifique esta informaciòn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1000-000001000000}">
      <text>
        <r>
          <rPr>
            <sz val="10"/>
            <color rgb="FF000000"/>
            <rFont val="Arial"/>
            <family val="2"/>
            <scheme val="minor"/>
          </rPr>
          <t>Use Normas APA 7ma. Edición. Revise el siguiente enlace https://normas-apa.org/referencias/ejemplos/  Ejemplo: Herrera Cáceres, C. y Rosillo Peña, M. (2019). Confort y eficiencia energética en el diseño de edificaciones. Universidad del Valle.
======</t>
        </r>
      </text>
    </comment>
  </commentList>
</comments>
</file>

<file path=xl/sharedStrings.xml><?xml version="1.0" encoding="utf-8"?>
<sst xmlns="http://schemas.openxmlformats.org/spreadsheetml/2006/main" count="1464" uniqueCount="379">
  <si>
    <t>UNIDAD DE CAPACITACIÓN Y CERTIFICACIÓN</t>
  </si>
  <si>
    <t>CENTRO DE EDUCACIÓN CONTINUA</t>
  </si>
  <si>
    <t>DISEÑO DE CONTENIDOS</t>
  </si>
  <si>
    <t>PLAN DE CLASE</t>
  </si>
  <si>
    <t>Código: CEC-RCYC-02;Revisión: 02</t>
  </si>
  <si>
    <t>DIPLOMADO EN BIG DATA E INTELIGENCIA ARTIFICIAL</t>
  </si>
  <si>
    <t>Duración total del diplomado (Horas)</t>
  </si>
  <si>
    <t>Programa</t>
  </si>
  <si>
    <t>150 horas
120 horas sincrónicas y
30 horas asincrónicas</t>
  </si>
  <si>
    <t>Duración (Horas)</t>
  </si>
  <si>
    <t>Descripción general del diplomado</t>
  </si>
  <si>
    <t>El Diplomado en Big Data e Inteligencia Artificial ha sido diseñado para fortalecer las capacidades técnicas y analíticas de los profesionales vinculados al análisis económico, estadístico y tecnológico, mediante el uso de herramientas modernas de ciencia de datos, machine learning e inteligencia artificial aplicadas al análisis macroeconómico y la toma de decisiones institucionales. El programa integra fundamentos teóricos y prácticos relacionados con programación, automatización, analítica avanzada, modelamiento econométrico y técnicas de forecasting.
A través de metodologías activas y laboratorios prácticos, los participantes desarrollarán competencias para gestionar grandes volúmenes de datos, automatizar procesos de recolección de información, construir modelos predictivos y generar análisis económicos avanzados mediante R y Python. El diplomado permitirá fortalecer la innovación institucional y optimizar procesos de análisis económico mediante tecnologías emergentes, contribuyendo a la generación de información estratégica para la toma de decisiones en el sector público y financiero.</t>
  </si>
  <si>
    <t>Nombre del módulo</t>
  </si>
  <si>
    <t>Dirigido a</t>
  </si>
  <si>
    <t>MÓDULO 1. FUNDAMENTOS DE BIG DATA E INTELIGENCIA ARTIFICIAL</t>
  </si>
  <si>
    <t>El diplomado está dirigido al personal operativo, mandos medios y profesionales de cuarto nivel del área de estudios y programación económica del Banco Central del Ecuador, así como a analistas económicos, estadísticos, investigadores, especialistas en datos y profesionales vinculados al análisis cuantitativo, automatización de procesos y generación de proyecciones económicas.</t>
  </si>
  <si>
    <t>Requisitos académicos  (Perfil del estudiantes)</t>
  </si>
  <si>
    <t>Los participantes deberán poseer título de tercer o cuarto nivel en Economía, Estadística, Matemáticas, Ingeniería, Computación, Finanzas, Ciencia de Datos o carreras afines. Se recomienda experiencia básica en análisis de datos, estadística descriptiva y uso de herramientas informáticas.</t>
  </si>
  <si>
    <t>Requisitos de aprobación</t>
  </si>
  <si>
    <t>25 horas
(20 horas sincrónicas y 5 horas asincrónicas)</t>
  </si>
  <si>
    <t>Nota mínima para aprobar el curso: 70/100
Asistencia mínima: 80%</t>
  </si>
  <si>
    <t>Presentación del módulo</t>
  </si>
  <si>
    <t>Requisitos técnicos</t>
  </si>
  <si>
    <t>Objetivo General</t>
  </si>
  <si>
    <t>Computador portátil o de escritorio con procesador Intel Core i5 o superior.
Memoria RAM mínima de 8 GB.
Espacio libre en disco de al menos 30 GB.
Conexión estable a internet de mínimo 10 Mbps.
Cámara web y micrófono funcional.
Sistema operativo Windows 10 o superior, Linux o macOS.
Navegador actualizado.
Instalación de R, RStudio, Python y Jupyter Notebook.
Acceso a plataformas colaborativas y videoconferencia.</t>
  </si>
  <si>
    <t>Este módulo introduce los conceptos fundamentales relacionados con Big Data, Inteligencia Artificial y Machine Learning, proporcionando una visión integral sobre el impacto de estas tecnologías en los procesos de análisis económico y toma de decisiones. Los participantes comprenderán los principales paradigmas de aprendizaje automático y su aplicación en escenarios institucionales.
El módulo permitirá desarrollar capacidades para interpretar el ciclo de vida de proyectos de analítica avanzada y comprender el valor estratégico de los datos en organizaciones modernas. Los participantes adquirirán conocimientos sobre tipos de aprendizaje supervisado y no supervisado, ecosistemas de IA y aplicaciones en economía. Al finalizar, el estudiante será capaz de identificar oportunidades de implementación de IA y Big Data en contextos institucionales y económicos.</t>
  </si>
  <si>
    <t>Objetivo General del Diplomado</t>
  </si>
  <si>
    <t>MÓDULO 2. PROGRAMACIÓN Y GESTIÓN DE DATOS MASIVOS</t>
  </si>
  <si>
    <t>Desarrollar capacidades técnicas en Big Data e Inteligencia Artificial mediante herramientas de programación, machine learning y analítica avanzada en contextos de análisis económico y estadístico, para fortalecer la automatización de procesos y la toma de decisiones basada en datos.</t>
  </si>
  <si>
    <t>Personal operativo, analistas económicos, estadísticos y profesionales vinculados al análisis de información.</t>
  </si>
  <si>
    <t>Objetivos Específicos</t>
  </si>
  <si>
    <t xml:space="preserve">Requisitos académicos  </t>
  </si>
  <si>
    <t>Conocimientos básicos de estadística, análisis de datos y herramientas informáticas.</t>
  </si>
  <si>
    <t>Computador con 8 GB RAM.
Navegador actualizado.
Python y R instalados.
Acceso a internet.</t>
  </si>
  <si>
    <t>Presentación del curso</t>
  </si>
  <si>
    <t>Este módulo desarrolla competencias relacionadas con programación orientada al análisis de datos, gestión de bases de datos masivas y procesamiento de información estructurada y no estructurada. Los participantes aprenderán técnicas de limpieza, transformación y manipulación de datos utilizando R y Python.
La propuesta de valor del módulo radica en fortalecer capacidades técnicas para automatizar procesos de análisis y preparación de datos, optimizando la calidad de la información utilizada en estudios económicos y estadísticos. Al finalizar, los estudiantes estarán en capacidad de desarrollar flujos de procesamiento de datos y construir estructuras de análisis reproducibles.</t>
  </si>
  <si>
    <t>DIA</t>
  </si>
  <si>
    <t>Fecha
(dd-mm-aaa)</t>
  </si>
  <si>
    <t>Comprender los fundamentos de Big Data e Inteligencia Artificial mediante conceptos y herramientas tecnológicas en contextos de análisis económico, para identificar aplicaciones orientadas a la toma de decisiones basada en datos.</t>
  </si>
  <si>
    <t>Analistas de datos, estadísticos, economistas y profesionales vinculados al procesamiento de información.</t>
  </si>
  <si>
    <t>U1. Identificar conceptos fundamentales de IA mediante análisis de aplicaciones tecnológicas en contextos económicos para comprender su impacto institucional.
U2. Analizar tipos de machine learning mediante modelos supervisados y no supervisados en escenarios analíticos para diferenciar enfoques predictivos.
U3. Reconocer ecosistemas Big Data mediante plataformas y arquitecturas de datos en entornos organizacionales para comprender su funcionamiento.
U4. Relacionar analítica avanzada mediante casos económicos institucionales para identificar oportunidades de innovación.
Aplicar herramientas básicas de IA mediante laboratorios prácticos en análisis económico para interpretar resultados analíticos.</t>
  </si>
  <si>
    <t>Contenidos</t>
  </si>
  <si>
    <t>Conocimientos básicos de programación y estadística descriptiva.</t>
  </si>
  <si>
    <t>Actividad de Aprendizaje</t>
  </si>
  <si>
    <t>Tipo de Evaluación</t>
  </si>
  <si>
    <t>Computador con 8 GB RAM.
Python y R instalados.
Acceso a internet.
Jupyter Notebook.</t>
  </si>
  <si>
    <t>Unidad 1. Introducción a Big Data (5 horas)</t>
  </si>
  <si>
    <t>1.1</t>
  </si>
  <si>
    <t>Conceptos de Big Data.</t>
  </si>
  <si>
    <t>1.2</t>
  </si>
  <si>
    <t>Características de los datos masivos.</t>
  </si>
  <si>
    <t>Gestionar datos masivos mediante herramientas de programación y procesamiento en contextos analíticos institucionales, para optimizar la calidad y disponibilidad de información económica.</t>
  </si>
  <si>
    <t>1.3</t>
  </si>
  <si>
    <t>Ecosistemas de datos.</t>
  </si>
  <si>
    <t>U1. Aplicar fundamentos de programación mediante R y Python en escenarios analíticos para automatizar procesos de datos.
U2. Gestionar bases de datos mediante técnicas ETL en entornos institucionales para optimizar calidad de información.
U2. Limpiar y transformar datos mediante librerías analíticas en proyectos económicos para mejorar consistencia de resultados.
U3. Analizar datos estructurados y no estructurados mediante herramientas de procesamiento para generar información útil.
U4. Desarrollar flujos automatizados mediante programación aplicada en casos institucionales para optimizar análisis económico.</t>
  </si>
  <si>
    <t>1.4</t>
  </si>
  <si>
    <t>Transformación digital.</t>
  </si>
  <si>
    <t>1.5</t>
  </si>
  <si>
    <t>Aplicaciones institucionales.</t>
  </si>
  <si>
    <t>Unidad 1. Programación en Python y R (5 horas)</t>
  </si>
  <si>
    <t>Unidad 2. Fundamentos de Inteligencia Artificial (5 horas)</t>
  </si>
  <si>
    <t>2.1</t>
  </si>
  <si>
    <t>Historia y evolución de la IA.</t>
  </si>
  <si>
    <t>Sintaxis básica.</t>
  </si>
  <si>
    <t>2.2</t>
  </si>
  <si>
    <t>Tipos de inteligencia artificial.</t>
  </si>
  <si>
    <t>2.3</t>
  </si>
  <si>
    <t>Aprendizaje supervisado.</t>
  </si>
  <si>
    <t>Variables y estructuras.</t>
  </si>
  <si>
    <t>2.4</t>
  </si>
  <si>
    <t>Aprendizaje no supervisado.</t>
  </si>
  <si>
    <t>Funciones.</t>
  </si>
  <si>
    <t>2.5</t>
  </si>
  <si>
    <t>Casos de uso.</t>
  </si>
  <si>
    <t>Unidad 3. Machine Learning y Analítica (5 horas)</t>
  </si>
  <si>
    <t>Librerías analíticas.</t>
  </si>
  <si>
    <t>3.1</t>
  </si>
  <si>
    <t>Modelos predictivos.</t>
  </si>
  <si>
    <t>3.2</t>
  </si>
  <si>
    <t>Clasificación y regresión.</t>
  </si>
  <si>
    <t>Automatización básica.</t>
  </si>
  <si>
    <t>3.3</t>
  </si>
  <si>
    <t>Segmentación.</t>
  </si>
  <si>
    <t>Unidad 2. Manipulación de Datos (5 horas)</t>
  </si>
  <si>
    <t>DataFrames.</t>
  </si>
  <si>
    <t>3.4</t>
  </si>
  <si>
    <t>Evaluación de modelos.</t>
  </si>
  <si>
    <t>3.5</t>
  </si>
  <si>
    <t>Interpretación de resultados.</t>
  </si>
  <si>
    <t>Limpieza de datos.</t>
  </si>
  <si>
    <t>Transformación de variables.</t>
  </si>
  <si>
    <t>Unidad 4. IA aplicada a Economía (5 horas)</t>
  </si>
  <si>
    <t>4.1</t>
  </si>
  <si>
    <t>Analítica económica.</t>
  </si>
  <si>
    <t>Validación de datos.</t>
  </si>
  <si>
    <t>4.2</t>
  </si>
  <si>
    <t>Variables macroeconómicas.</t>
  </si>
  <si>
    <t>Integración de fuentes.</t>
  </si>
  <si>
    <t>4.3</t>
  </si>
  <si>
    <t>Predicción económica.</t>
  </si>
  <si>
    <t>Unidad 3. Bases de Datos y ETL (5 horas)</t>
  </si>
  <si>
    <t>4.4</t>
  </si>
  <si>
    <t>Automatización de análisis.</t>
  </si>
  <si>
    <t>SQL básico.</t>
  </si>
  <si>
    <t>4.5</t>
  </si>
  <si>
    <t>Innovación institucional.</t>
  </si>
  <si>
    <t>Procesos ETL.</t>
  </si>
  <si>
    <t>Unidad 5. Taller Introductorio (5 horas)</t>
  </si>
  <si>
    <t>5.1</t>
  </si>
  <si>
    <t>Laboratorio con Python.</t>
  </si>
  <si>
    <t>Bases relacionales.</t>
  </si>
  <si>
    <t>5.2</t>
  </si>
  <si>
    <t>Introducción a R.</t>
  </si>
  <si>
    <t>5.3</t>
  </si>
  <si>
    <t>Exploración de datos.</t>
  </si>
  <si>
    <t>Bases NoSQL.</t>
  </si>
  <si>
    <t>5.4</t>
  </si>
  <si>
    <t>Visualización básica.</t>
  </si>
  <si>
    <t>Integración de datos.</t>
  </si>
  <si>
    <t>5.5</t>
  </si>
  <si>
    <t>Ejercicios prácticos.</t>
  </si>
  <si>
    <t>Unidad 4. Big Data Analytics (5 horas)</t>
  </si>
  <si>
    <t>Metodología</t>
  </si>
  <si>
    <t>Procesamiento masivo.</t>
  </si>
  <si>
    <t>Se implementará Aprendizaje Basado en Problemas (ABP) mediante análisis de casos y ejercicios prácticos orientados a problemas reales de análisis económico y gestión de datos.0</t>
  </si>
  <si>
    <t>Datos estructurados.</t>
  </si>
  <si>
    <t>Evaluación</t>
  </si>
  <si>
    <t>Datos no estructurados.</t>
  </si>
  <si>
    <t>Diagnóstica:</t>
  </si>
  <si>
    <t>0% (identificación de conocimientos previos).</t>
  </si>
  <si>
    <t>Introducción a Spark.</t>
  </si>
  <si>
    <t xml:space="preserve">Evaluación Formativa: </t>
  </si>
  <si>
    <t>60% (participación en talleres, resolución de casos, actividades prácticas).</t>
  </si>
  <si>
    <t>CONTENIDO</t>
  </si>
  <si>
    <t>Analítica distribuida.</t>
  </si>
  <si>
    <t>Evaluación Final:</t>
  </si>
  <si>
    <t>40% (proyecto final).</t>
  </si>
  <si>
    <t>Unidad 5. Taller de Programación (5 horas)</t>
  </si>
  <si>
    <t>Automatización de procesos.</t>
  </si>
  <si>
    <t>Scripts analíticos.</t>
  </si>
  <si>
    <t xml:space="preserve">Bibliografía </t>
  </si>
  <si>
    <t>Géron, A. (2022). Hands-On Machine Learning with Scikit-Learn, Keras, and TensorFlow. O'Reilly Media. https://www.oreilly.com
Russell, S., &amp; Norvig, P. (2021). Artificial Intelligence: A Modern Approach. Pearson. https://aima.cs.berkeley.edu
Provost, F., &amp; Fawcett, T. (2023). Data Science for Business. O'Reilly Media. https://www.oreilly.com</t>
  </si>
  <si>
    <t>Limpieza masiva.</t>
  </si>
  <si>
    <t>Integración de datasets.</t>
  </si>
  <si>
    <t>Recursos didácticos para el curso</t>
  </si>
  <si>
    <t>Presentaciones multimedia.
Laboratorios guiados.
Videos explicativos.
Guías prácticas.
Estudios de caso.</t>
  </si>
  <si>
    <t>Presentación de resultados.</t>
  </si>
  <si>
    <t>Recursos hardware para el curso</t>
  </si>
  <si>
    <t>Computador portátil.
Cámara web.
Micrófono.
Conexión estable.</t>
  </si>
  <si>
    <t>Se utilizará Flipped Classroom mediante revisión previa de contenidos teóricos y sesiones prácticas enfocadas en programación aplicada y resolución de ejercicios.0</t>
  </si>
  <si>
    <t>Recursos software para el curso</t>
  </si>
  <si>
    <t>Python.
R y RStudio.
Jupyter Notebook.
Google Colab.
VS Code.</t>
  </si>
  <si>
    <t>Competencias del Instructor
(Resumen)</t>
  </si>
  <si>
    <t>Formación profesional</t>
  </si>
  <si>
    <t>Experiencia profesional y docente</t>
  </si>
  <si>
    <t>Dominio en campos de:</t>
  </si>
  <si>
    <t>Realizado por</t>
  </si>
  <si>
    <t>Wickham, H. (2023). R for Data Science. O'Reilly Media. https://r4ds.hadley.nz
McKinney, W. (2022). Python for Data Analysis. O'Reilly Media. https://wesmckinney.com/book/
Zaharia, M. (2021). Learning Spark. O'Reilly Media. https://www.oreilly.com</t>
  </si>
  <si>
    <t>Área Académica</t>
  </si>
  <si>
    <t>Fecha de Realización
(dd-mm-aaa)</t>
  </si>
  <si>
    <t>Laboratorios virtuales.
Guías de programación.
Ejercicios prácticos.
Videos tutoriales.
Casos económicos.</t>
  </si>
  <si>
    <t>Revisado por</t>
  </si>
  <si>
    <t>Patricio Aucancela</t>
  </si>
  <si>
    <t>Computador portátil.
8 GB RAM.
Conexión estable.
Cámara y micrófono.</t>
  </si>
  <si>
    <t>Fecha de Revisión
(dd-mm-aaa)</t>
  </si>
  <si>
    <t>Python.
RStudio.
Jupyter Notebook.
Apache Spark.
PostgreSQL.</t>
  </si>
  <si>
    <t>CONTROL DE CAMBIOS DEL DISEÑO DE CONTENIDOS PARA USO INTERNO DEL CEC-EPN</t>
  </si>
  <si>
    <t>Proceso de Evaluación</t>
  </si>
  <si>
    <t>VERSIÓN</t>
  </si>
  <si>
    <t>Código del Diseño de Contenidos</t>
  </si>
  <si>
    <t>Descripción del Cambio</t>
  </si>
  <si>
    <t>Instrumento</t>
  </si>
  <si>
    <t>Núm de Actividades</t>
  </si>
  <si>
    <t>Aprobado por</t>
  </si>
  <si>
    <t>Fecha de Aprobación
(dd-mm-aaa)</t>
  </si>
  <si>
    <t xml:space="preserve"> </t>
  </si>
  <si>
    <t>Puntaje por Actividad</t>
  </si>
  <si>
    <t>Puntaje Total</t>
  </si>
  <si>
    <t>V1</t>
  </si>
  <si>
    <t>Temario solicitado BC 2026</t>
  </si>
  <si>
    <t>Cristhian Castillo</t>
  </si>
  <si>
    <t>TOTAL</t>
  </si>
  <si>
    <t>Realizado por el instructor</t>
  </si>
  <si>
    <t>Fecha</t>
  </si>
  <si>
    <t>Realizado por:</t>
  </si>
  <si>
    <t xml:space="preserve">Revisado por: </t>
  </si>
  <si>
    <t xml:space="preserve"> Equipo de docentes del DIPLOMADO</t>
  </si>
  <si>
    <t>María del Mae</t>
  </si>
  <si>
    <t>Código del Diplomado</t>
  </si>
  <si>
    <t>Aprobado por:</t>
  </si>
  <si>
    <t>DC.2026.V1.896</t>
  </si>
  <si>
    <t>Diseño inicial del diplomado solictado por</t>
  </si>
  <si>
    <t>MÓDULO 3. MACHINE LEARNING APLICADO</t>
  </si>
  <si>
    <t>Este módulo aborda las técnicas de machine learning aplicadas al análisis predictivo, clasificación y segmentación de datos económicos. Los participantes desarrollarán modelos supervisados y no supervisados utilizando herramientas modernas de ciencia de datos.
El módulo permitirá fortalecer competencias analíticas para generar modelos predictivos orientados a forecasting económico y toma de decisiones. Al finalizar, los participantes podrán construir modelos de regresión, clasificación y clustering aplicados a problemas institucionales y económicos.</t>
  </si>
  <si>
    <t>Analistas económicos, científicos de datos y profesionales vinculados al análisis predictivo.</t>
  </si>
  <si>
    <t>Conocimientos básicos de programación, estadística y análisis de datos.</t>
  </si>
  <si>
    <t>Computador con 8 GB RAM.
Python instalado.
Librerías de machine learning.
Conectividad estable.</t>
  </si>
  <si>
    <t>Aplicar modelos de machine learning mediante técnicas predictivas y herramientas analíticas en escenarios económicos, para generar pronósticos y clasificaciones basadas en datos.</t>
  </si>
  <si>
    <t>Construir modelos de regresión mediante algoritmos supervisados en análisis económicos para generar predicciones.
Aplicar técnicas de clasificación mediante machine learning en conjuntos de datos institucionales para identificar patrones.
Implementar modelos de clustering mediante algoritmos no supervisados en análisis de segmentación para interpretar comportamientos.
Evaluar desempeño de modelos mediante métricas analíticas en proyectos predictivos para optimizar resultados.
Desarrollar soluciones predictivas mediante laboratorios aplicados en escenarios económicos para fortalecer toma de decisiones.</t>
  </si>
  <si>
    <t>Unidad 1. Regresión y Predicción (5 horas)</t>
  </si>
  <si>
    <t>Regresión lineal.</t>
  </si>
  <si>
    <t>Regresión múltiple.</t>
  </si>
  <si>
    <t>Evaluación predictiva.</t>
  </si>
  <si>
    <t>Overfitting.</t>
  </si>
  <si>
    <t>Validación cruzada.</t>
  </si>
  <si>
    <t>Unidad 2. Clasificación (5 horas)</t>
  </si>
  <si>
    <t>Árboles de decisión.</t>
  </si>
  <si>
    <t>Random Forest.</t>
  </si>
  <si>
    <t>SVM.</t>
  </si>
  <si>
    <t>KNN.</t>
  </si>
  <si>
    <t>Métricas de clasificación.</t>
  </si>
  <si>
    <t>Unidad 3. Clustering y Segmentación (5 horas)</t>
  </si>
  <si>
    <t>K-Means.</t>
  </si>
  <si>
    <t>Clustering jerárquico.</t>
  </si>
  <si>
    <t>Segmentación económica.</t>
  </si>
  <si>
    <t>Detección de patrones.</t>
  </si>
  <si>
    <t>Interpretación de clusters</t>
  </si>
  <si>
    <t>Unidad 4. Reducción de Dimensionalidad (5 horas)</t>
  </si>
  <si>
    <t>PCA.</t>
  </si>
  <si>
    <t>Selección de variables.</t>
  </si>
  <si>
    <t>Ingeniería de características.</t>
  </si>
  <si>
    <t>Visualización multidimensional.</t>
  </si>
  <si>
    <t>Optimización de modelos.</t>
  </si>
  <si>
    <t>Unidad 5. Taller de Modelos Predictivos (5 horas)</t>
  </si>
  <si>
    <t>Construcción de modelos.</t>
  </si>
  <si>
    <t>Evaluación comparativa.</t>
  </si>
  <si>
    <t>Forecasting económico.</t>
  </si>
  <si>
    <t>Se aplicará Aprendizaje Cooperativo mediante laboratorios grupales y desarrollo de modelos predictivos colaborativos.0</t>
  </si>
  <si>
    <t>Hastie, T., Tibshirani, R., &amp; Friedman, J. (2021). The Elements of Statistical Learning. Springer. https://hastie.su.domains/ElemStatLearn/
James, G. et al. (2023). An Introduction to Statistical Learning. Springer. https://www.statlearning.com
Géron, A. (2022). Hands-On Machine Learning with Scikit-Learn, Keras, and TensorFlow. O'Reilly Media. https://www.oreilly.com</t>
  </si>
  <si>
    <t>Laboratorios prácticos.
Datasets económicos.
Videos tutoriales.
Guías técnicas.
Casos aplicados.</t>
  </si>
  <si>
    <t>Python.
Scikit-learn.
Jupyter Notebook.
Google Colab.
Pandas.</t>
  </si>
  <si>
    <t>Nombre del curso</t>
  </si>
  <si>
    <t>MÓDULO 4. IA PARA AUTOMATIZACIÓN Y RECOLECCIÓN DE DATOS</t>
  </si>
  <si>
    <t>Este módulo desarrolla competencias para automatizar procesos de captura, integración y procesamiento de información mediante herramientas de inteligencia artificial, APIs y web scraping. Los participantes aprenderán a construir flujos automatizados para la obtención y procesamiento de datos económicos.
El módulo permitirá optimizar procesos institucionales relacionados con actualización de bases de datos, monitoreo de indicadores y generación automática de reportes. Al finalizar, los estudiantes estarán en capacidad de implementar soluciones automatizadas para recolección y análisis de información.</t>
  </si>
  <si>
    <t>Analistas de información, economistas, estadísticos y profesionales TIC.</t>
  </si>
  <si>
    <t>Conocimientos básicos de programación y análisis de datos.</t>
  </si>
  <si>
    <t>Computador con 8 GB RAM.
Python instalado.
Navegador actualizado.
Acceso a internet.</t>
  </si>
  <si>
    <t>Automatizar procesos de recolección y procesamiento de datos mediante herramientas de IA y programación en contextos analíticos institucionales, para optimizar generación de información económica.</t>
  </si>
  <si>
    <t>U1. Implementar técnicas de web scraping mediante programación en plataformas web para automatizar captura de información.
U2. Utilizar APIs mediante herramientas tecnológicas en análisis económicos para integrar fuentes de datos.
U3. Automatizar procesos analíticos mediante scripts y flujos de trabajo en escenarios institucionales para optimizar productividad.
U4. Aplicar agentes inteligentes mediante herramientas de IA en procesos de datos para mejorar eficiencia operativa.
U5. Desarrollar soluciones automatizadas mediante casos prácticos institucionales para fortalecer análisis económico.</t>
  </si>
  <si>
    <t>Unidad 1. Web Scraping (5 horas)</t>
  </si>
  <si>
    <t>Introducción al scraping.</t>
  </si>
  <si>
    <t>BeautifulSoup.</t>
  </si>
  <si>
    <t>Selenium.</t>
  </si>
  <si>
    <t>Extracción de tablas.</t>
  </si>
  <si>
    <t>Automatización web.</t>
  </si>
  <si>
    <t>Unidad 2. APIs y Datos Abiertos (5 horas)</t>
  </si>
  <si>
    <t>APIs REST.</t>
  </si>
  <si>
    <t>Consumo de APIs.</t>
  </si>
  <si>
    <t>Datos abiertos.</t>
  </si>
  <si>
    <t>Automatización de consultas.</t>
  </si>
  <si>
    <t>Unidad 3. Automatización de Procesos (5 horas)</t>
  </si>
  <si>
    <t>Scripts automatizados.</t>
  </si>
  <si>
    <t>Programación de tareas.</t>
  </si>
  <si>
    <t>Flujos ETL.</t>
  </si>
  <si>
    <t>Automatización de reportes.</t>
  </si>
  <si>
    <t>Integración de procesos.</t>
  </si>
  <si>
    <t>Unidad 4. Agentes Inteligentes (5 horas)</t>
  </si>
  <si>
    <t>Introducción a agentes IA.</t>
  </si>
  <si>
    <t>Procesamiento automático.</t>
  </si>
  <si>
    <t>Automatización inteligente.</t>
  </si>
  <si>
    <t>Integración de modelos.</t>
  </si>
  <si>
    <t>Casos institucionales.</t>
  </si>
  <si>
    <t>Unidad 5. Taller Integrador (5 horas)</t>
  </si>
  <si>
    <t>Desarrollo de scraper.</t>
  </si>
  <si>
    <t>Integración API.</t>
  </si>
  <si>
    <t>Automatización analítica.</t>
  </si>
  <si>
    <t>Generación de reportes.</t>
  </si>
  <si>
    <t>Se implementará Design Thinking mediante retos de automatización orientados a resolver problemas institucionales reales.0</t>
  </si>
  <si>
    <t>Diagnóstica: 0%</t>
  </si>
  <si>
    <t>Formativa: 60% (participación, talleres, proyectos, estudios de caso)</t>
  </si>
  <si>
    <t>Final: 40% (proyecto integrador)</t>
  </si>
  <si>
    <t>Sweigart, A. (2020). Automate the Boring Stuff with Python. No Starch Press. https://automatetheboringstuff.com
Mitchell, R. (2022). Web Scraping with Python. O'Reilly Media. https://www.oreilly.com
VanderPlas, J. (2023). Python Data Science Handbook. O'Reilly Media. https://jakevdp.github.io/PythonDataScienceHandbook/</t>
  </si>
  <si>
    <t>Laboratorios prácticos.
APIs públicas.
Videos tutoriales.
Guías de automatización.
Casos de estudio.</t>
  </si>
  <si>
    <t>Computador portátil.
Conexión estable.
Cámara y micrófono.
8 GB RAM.</t>
  </si>
  <si>
    <t>Python.
Selenium.
BeautifulSoup.
Postman.
Google Colab.</t>
  </si>
  <si>
    <t>MÓDULO 5. ECONOMETRÍA Y FORECASTING CON IA</t>
  </si>
  <si>
    <t>Este módulo integra técnicas econométricas tradicionales con modelos de machine learning orientados al forecasting económico y análisis predictivo. Los participantes aprenderán a construir modelos híbridos para mejorar precisión en estimaciones macroeconómicas.
La propuesta de valor del módulo radica en fortalecer competencias para analizar series de tiempo, realizar proyecciones económicas y comparar metodologías predictivas. Al finalizar, los estudiantes estarán en capacidad de construir modelos econométricos y de IA aplicados a variables económicas reales.</t>
  </si>
  <si>
    <t>Economistas, analistas macroeconómicos, estadísticos y científicos de datos.</t>
  </si>
  <si>
    <t>Conocimientos de estadística, econometría básica y programación.</t>
  </si>
  <si>
    <t>Computador con 8 GB RAM.
Python y R instalados.
Librerías econométricas.
Conectividad estable.</t>
  </si>
  <si>
    <t>Construir modelos econométricos y de forecasting mediante técnicas estadísticas y machine learning en contextos económicos, para mejorar predicción y análisis de variables macroeconómicas.</t>
  </si>
  <si>
    <t>U1. Analizar series temporales mediante modelos econométricos en escenarios económicos para generar proyecciones.
U2. Aplicar modelos ARIMA mediante herramientas analíticas en forecasting económico para estimar tendencias.
U3. Integrar machine learning mediante técnicas predictivas en modelos econométricos para optimizar precisión.
U4. Evaluar desempeño predictivo mediante métricas analíticas en proyecciones económicas para validar resultados.
U5. Desarrollar modelos híbridos mediante casos institucionales para fortalecer análisis macroeconómico.</t>
  </si>
  <si>
    <t>Unidad 1. Series de Tiempo (5 horas)</t>
  </si>
  <si>
    <t>Componentes de series.</t>
  </si>
  <si>
    <t>Estacionalidad.</t>
  </si>
  <si>
    <t>Tendencia.</t>
  </si>
  <si>
    <t>Estacionariedad.</t>
  </si>
  <si>
    <t>Visualización temporal.</t>
  </si>
  <si>
    <t>Unidad 2. Modelos Econométricos (5 horas)</t>
  </si>
  <si>
    <t>Regresión econométrica.</t>
  </si>
  <si>
    <t>Modelos ARIMA.</t>
  </si>
  <si>
    <t>VAR.</t>
  </si>
  <si>
    <t>Cointegración.</t>
  </si>
  <si>
    <t>Evaluación estadística.</t>
  </si>
  <si>
    <t>Unidad 3. Forecasting con IA (5 horas)</t>
  </si>
  <si>
    <t>Forecasting híbrido.</t>
  </si>
  <si>
    <t>Redes neuronales básicas.</t>
  </si>
  <si>
    <t>Unidad 4. Pronóstico Macroeconómico (5 horas)</t>
  </si>
  <si>
    <t>PIB.</t>
  </si>
  <si>
    <t>Inflación.
Comercio exterior.
Inversión pública y privada.
Consumo de hogares.</t>
  </si>
  <si>
    <t>Unidad 5. Taller de Forecasting (5 horas)</t>
  </si>
  <si>
    <t>Construcción de modelos.
Comparación predictiva.
Automatización de forecasting.
Visualización de resultados.
Presentación ejecutiva.</t>
  </si>
  <si>
    <t>Se utilizará Aprendizaje Basado en Problemas mediante análisis de datasets macroeconómicos reales y construcción de modelos predictivos.</t>
  </si>
  <si>
    <t>Hyndman, R., &amp; Athanasopoulos, G. (2023). Forecasting: Principles and Practice. https://otexts.com/fpp3/
Wooldridge, J. (2021). Introductory Econometrics. Cengage Learning. https://www.cengage.com
Hamilton, J. (2020). Time Series Analysis. Princeton University Press. https://press.princeton.edu</t>
  </si>
  <si>
    <t>Bases macroeconómicas.
Laboratorios prácticos.
Casos institucionales.
Videos explicativos.
Guías técnicas.</t>
  </si>
  <si>
    <t>Computador portátil.
8 GB RAM.
Cámara y micrófono.
Conectividad estable.</t>
  </si>
  <si>
    <t>RStudio.
Python.
Statsmodels.
Prophet.
Jupyter Notebook.</t>
  </si>
  <si>
    <t>MÓDULO 6. MODELOS AVANZADOS DE IA Y APLICACIONES ECONÓMICAS</t>
  </si>
  <si>
    <t>Este módulo aborda técnicas avanzadas de inteligencia artificial, incluyendo modelos bayesianos, algoritmos no paramétricos e introducción a deep learning aplicados al análisis económico y predictivo. Los participantes integrarán conocimientos adquiridos durante el diplomado para resolver problemas complejos mediante analítica avanzada.
El módulo permitirá fortalecer capacidades para implementar soluciones innovadoras orientadas a la toma de decisiones estratégicas y análisis económico avanzado. Al finalizar, los estudiantes estarán preparados para aplicar técnicas avanzadas de IA en escenarios institucionales y proyectos de innovación pública.</t>
  </si>
  <si>
    <t>Economistas, científicos de datos, analistas predictivos y especialistas en innovación tecnológica.</t>
  </si>
  <si>
    <t>Conocimientos intermedios de programación, estadística y machine learning.</t>
  </si>
  <si>
    <t>Computador con 8 GB RAM.
Python instalado.
Librerías de deep learning.
Acceso a internet.</t>
  </si>
  <si>
    <t>Aplicar modelos avanzados de inteligencia artificial mediante técnicas analíticas y herramientas predictivas en escenarios económicos, para generar soluciones innovadoras orientadas a la toma de decisiones.</t>
  </si>
  <si>
    <t>U1. Implementar modelos no paramétricos mediante algoritmos avanzados en análisis económicos para optimizar predicciones.
U2. Aplicar técnicas bayesianas mediante modelos probabilísticos en escenarios institucionales para fortalecer análisis de incertidumbre.
U3. Comprender fundamentos de deep learning mediante redes neuronales en problemas predictivos para identificar aplicaciones avanzadas.
U4. Analizar aplicaciones económicas mediante IA avanzada en contextos macroeconómicos para generar valor institucional.
Desarrollar proyectos integradores mediante técnicas avanzadas en escenarios reales para fortalecer innovación analítica.</t>
  </si>
  <si>
    <t>Unidad 1. Modelos No Paramétricos (5 horas)</t>
  </si>
  <si>
    <t>Kernel methods.</t>
  </si>
  <si>
    <t>Árboles avanzados.</t>
  </si>
  <si>
    <t>Boosting.</t>
  </si>
  <si>
    <t>Bagging.</t>
  </si>
  <si>
    <t>Unidad 2. Modelos Bayesianos (5 horas)</t>
  </si>
  <si>
    <t>Probabilidad bayesiana.</t>
  </si>
  <si>
    <t>Inferencia bayesiana.</t>
  </si>
  <si>
    <t>Redes bayesianas.</t>
  </si>
  <si>
    <t>Modelos probabilísticos.</t>
  </si>
  <si>
    <t>Aplicaciones económicas.</t>
  </si>
  <si>
    <t>Unidad 3. Introducción a Deep Learning (5 horas)</t>
  </si>
  <si>
    <t>Redes neuronales.</t>
  </si>
  <si>
    <t>TensorFlow.</t>
  </si>
  <si>
    <t>Keras.</t>
  </si>
  <si>
    <t>Deep learning básico.</t>
  </si>
  <si>
    <t>Aplicaciones predictivas.</t>
  </si>
  <si>
    <t>Unidad 4. Aplicaciones Económicas Avanzadas (5 horas)</t>
  </si>
  <si>
    <t>Analítica predictiva.</t>
  </si>
  <si>
    <t>Detección de anomalías.</t>
  </si>
  <si>
    <t>Riesgo financiero.</t>
  </si>
  <si>
    <t>Unidad 5. Proyecto Final Integrador (5 horas)</t>
  </si>
  <si>
    <t>Desarrollo de modelo avanzado.</t>
  </si>
  <si>
    <t>Visualización de resultados.</t>
  </si>
  <si>
    <t>Presentación ejecutiva.</t>
  </si>
  <si>
    <t>Retroalimentación final.</t>
  </si>
  <si>
    <t>Se aplicará Gamificación mediante retos analíticos, simulaciones y proyectos integradores orientados a resolver problemas económicos reales.0</t>
  </si>
  <si>
    <t>Formativa: 60% (ejercicios prácticos, análisis de casos, participación)</t>
  </si>
  <si>
    <t>Final: 40% 40% (informe técnico de medición de cargas)</t>
  </si>
  <si>
    <t>Goodfellow, I., Bengio, Y., &amp; Courville, A. (2021). Deep Learning. MIT Press. https://www.deeplearningbook.org
Murphy, K. (2022). Probabilistic Machine Learning. MIT Press. https://probml.github.io/pml-book/
Chollet, F. (2021). Deep Learning with Python. Manning Publications. https://www.manning.com</t>
  </si>
  <si>
    <t>Laboratorios avanzados.
Casos económicos.
Videos especializados.
Guías de IA.
Proyectos integradores.</t>
  </si>
  <si>
    <t>Computador portátil.
8 GB RAM mínimo.
Cámara y micrófono.
Conexión estable.</t>
  </si>
  <si>
    <t>Python.
TensorFlow.
Keras.
Google Colab.
Jupyter Notebook.</t>
  </si>
  <si>
    <t>Nota mínima para aprobar el curso: 73/100
Asistencia mínima: 80%</t>
  </si>
  <si>
    <t>U1. 
U2.
U4.
U5.</t>
  </si>
  <si>
    <t>"Unidad 1:  Nombre de la unidad   
XX Horas"</t>
  </si>
  <si>
    <t>"Unidad 2:  Nombre de la unidad   
XX Horas"</t>
  </si>
  <si>
    <t>"Unidad 3:  Nombre de la unidad   
XX Horas"</t>
  </si>
  <si>
    <t>"Unidad 4:  Nombre de la unidad   
XX Horas"</t>
  </si>
  <si>
    <t>"Unidad 5:  Nombre de la unidad   
XX Horas"</t>
  </si>
  <si>
    <t>Final: 40% (resolución documentada de un caso de conflicto)</t>
  </si>
  <si>
    <t>Formativa: 60% (retos prácticos, ejercicios con IA, participación)</t>
  </si>
  <si>
    <t>Final: 40% (proyecto de aplicación de IA en un proceso laboral)</t>
  </si>
  <si>
    <t>Secuenciación de contenidos para el DIPLOMADO</t>
  </si>
  <si>
    <t>Módulos</t>
  </si>
  <si>
    <t>Horas sincrónicas</t>
  </si>
  <si>
    <t>Horas asincrónicas</t>
  </si>
  <si>
    <t>Total de horas</t>
  </si>
  <si>
    <t>Horario de las videoconferencias</t>
  </si>
  <si>
    <t>Inicio del módulo</t>
  </si>
  <si>
    <t>Fin del módulo</t>
  </si>
  <si>
    <t>Jueves y viernes de 18:30 a 21:30 y sábados de 09:00 a 13:00</t>
  </si>
  <si>
    <t>Diagnóstica</t>
  </si>
  <si>
    <t>Formativa</t>
  </si>
  <si>
    <t>Final</t>
  </si>
  <si>
    <t>Práctica guiada con datos económicos y cuestionario breve para conocer el punto de partida del grupo.</t>
  </si>
  <si>
    <t>Laboratorio guiado: comparar errores de Train y Validation en regresión lineal, árbol y bosque de regresión. Preguntas de reflexión sobre la complejidad del modelo.</t>
  </si>
  <si>
    <t>Estudio de caso y laboratorio guiado con Bank Marketing: problema yes/no, desbalance, baseline, Gini y matriz de confusión; comparación colaborativa de cuatro clasificadores sobre la misma Validation.</t>
  </si>
  <si>
    <t>Laboratorio guiado y Proyecto Integrador, parte 1 — avance 2 (15 puntos): examinar tipos de datos, faltantes y duplicados; justificar limpieza; presentar al menos tres gráficos; definir Train/Validation/Test. Identificar variables cualitativas y codificarlas con One-Hot ajustado solo en Train, cuando sean predictoras pertinentes.</t>
  </si>
  <si>
    <t>Laboratorio guiado y Proyecto Integrador, parte 1 — avance 3: construir baseline y modelos, comparar en Validation, revisar gráficos, métricas o estabilidad según el tipo de problema y dejar fijada la decisión antes de Test.</t>
  </si>
  <si>
    <t>Laboratorio guiado y Proyecto Integrador, parte 1 — avance 1: elegir uno de los cinco datasets, formular la pregunta, justificar si es regresión, clasificación o clustering y explicar fuente, unidad de observación, columnas y respuesta buscada.</t>
  </si>
  <si>
    <t>Proyecto Integrador, parte 2 — práctica final: entregar notebook reproducible, evaluar el Test reservado o la estabilidad final de clustering, interpretar resultados y limitaciones, y presentar una conclusión sustentada. El ejemplo guiado de forecasting forma parte de la jornada.</t>
  </si>
  <si>
    <t>Cuestionario breve de conocimientos previos</t>
  </si>
  <si>
    <t>Proyecto Integrador</t>
  </si>
  <si>
    <t>Jonathan Andres Rosero Soto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</si>
</sst>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 de &quot;mmmm&quot; de &quot;yyyy"/>
    <numFmt numFmtId="165" formatCode="dd&quot; de &quot;mmmm&quot; de &quot;yyyy"/>
  </numFmts>
  <fonts count="26" x14ac:knownFonts="1">
    <font>
      <sz val="10"/>
      <color rgb="FF000000"/>
      <name val="Arial"/>
      <scheme val="minor"/>
    </font>
    <font>
      <sz val="10"/>
      <color theme="1"/>
      <name val="Arial"/>
      <family val="2"/>
    </font>
    <font>
      <sz val="10"/>
      <name val="Arial"/>
      <family val="2"/>
    </font>
    <font>
      <b/>
      <sz val="10"/>
      <color theme="1"/>
      <name val="Arial"/>
      <family val="2"/>
    </font>
    <font>
      <b/>
      <sz val="12"/>
      <color rgb="FF000000"/>
      <name val="Arial"/>
      <family val="2"/>
    </font>
    <font>
      <sz val="8"/>
      <color theme="1"/>
      <name val="Arial"/>
      <family val="2"/>
    </font>
    <font>
      <b/>
      <sz val="11"/>
      <color rgb="FF000000"/>
      <name val="Arial"/>
      <family val="2"/>
    </font>
    <font>
      <i/>
      <sz val="10"/>
      <color theme="1"/>
      <name val="Times New Roman"/>
      <family val="1"/>
    </font>
    <font>
      <b/>
      <sz val="10"/>
      <color rgb="FF000000"/>
      <name val="Arial"/>
      <family val="2"/>
    </font>
    <font>
      <sz val="9"/>
      <color rgb="FF1F1F1F"/>
      <name val="Arial"/>
      <family val="2"/>
    </font>
    <font>
      <b/>
      <sz val="10"/>
      <color theme="1"/>
      <name val="Calibri"/>
      <family val="2"/>
    </font>
    <font>
      <sz val="10"/>
      <color rgb="FF000000"/>
      <name val="Arial"/>
      <family val="2"/>
    </font>
    <font>
      <b/>
      <sz val="9"/>
      <color theme="1"/>
      <name val="Calibri"/>
      <family val="2"/>
    </font>
    <font>
      <sz val="10"/>
      <color theme="1"/>
      <name val="Calibri"/>
      <family val="2"/>
    </font>
    <font>
      <sz val="11"/>
      <color theme="1"/>
      <name val="Calibri"/>
      <family val="2"/>
    </font>
    <font>
      <sz val="10"/>
      <color rgb="FF000000"/>
      <name val="Calibri"/>
      <family val="2"/>
    </font>
    <font>
      <sz val="9"/>
      <color theme="1"/>
      <name val="Calibri"/>
      <family val="2"/>
    </font>
    <font>
      <b/>
      <sz val="10"/>
      <color rgb="FF000000"/>
      <name val="Calibri"/>
      <family val="2"/>
    </font>
    <font>
      <sz val="8"/>
      <color rgb="FF000000"/>
      <name val="Calibri"/>
      <family val="2"/>
    </font>
    <font>
      <b/>
      <sz val="20"/>
      <color theme="1"/>
      <name val="Calibri"/>
      <family val="2"/>
    </font>
    <font>
      <b/>
      <sz val="11"/>
      <color theme="1"/>
      <name val="Calibri"/>
      <family val="2"/>
    </font>
    <font>
      <sz val="9"/>
      <color rgb="FF000000"/>
      <name val="Arial"/>
      <family val="2"/>
    </font>
    <font>
      <sz val="10"/>
      <color theme="1"/>
      <name val="Arial"/>
      <family val="2"/>
      <scheme val="minor"/>
    </font>
    <font>
      <b/>
      <sz val="12"/>
      <color rgb="FF333333"/>
      <name val="Raleway"/>
    </font>
    <font>
      <sz val="12"/>
      <color rgb="FF333333"/>
      <name val="Raleway"/>
    </font>
    <font>
      <sz val="10"/>
      <color rgb="FF000000"/>
      <name val="Arial"/>
      <family val="2"/>
      <scheme val="minor"/>
    </font>
  </fonts>
  <fills count="18">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B4A7D6"/>
        <bgColor rgb="FFB4A7D6"/>
      </patternFill>
    </fill>
    <fill>
      <patternFill patternType="solid">
        <fgColor rgb="FFF1EDF9"/>
        <bgColor rgb="FFF1EDF9"/>
      </patternFill>
    </fill>
    <fill>
      <patternFill patternType="solid">
        <fgColor theme="0"/>
        <bgColor theme="0"/>
      </patternFill>
    </fill>
    <fill>
      <patternFill patternType="solid">
        <fgColor rgb="FFDAEEF3"/>
        <bgColor rgb="FFDAEEF3"/>
      </patternFill>
    </fill>
    <fill>
      <patternFill patternType="solid">
        <fgColor rgb="FF9FC5E8"/>
        <bgColor rgb="FF9FC5E8"/>
      </patternFill>
    </fill>
    <fill>
      <patternFill patternType="solid">
        <fgColor rgb="FFFDE9D9"/>
        <bgColor rgb="FFFDE9D9"/>
      </patternFill>
    </fill>
    <fill>
      <patternFill patternType="solid">
        <fgColor rgb="FFD9EAD3"/>
        <bgColor rgb="FFD9EAD3"/>
      </patternFill>
    </fill>
    <fill>
      <patternFill patternType="solid">
        <fgColor rgb="FFB6DDE8"/>
        <bgColor rgb="FFB6DDE8"/>
      </patternFill>
    </fill>
    <fill>
      <patternFill patternType="solid">
        <fgColor rgb="FFFCECDD"/>
        <bgColor rgb="FFFCECDD"/>
      </patternFill>
    </fill>
    <fill>
      <patternFill patternType="solid">
        <fgColor rgb="FFD6E3BC"/>
        <bgColor rgb="FFD6E3BC"/>
      </patternFill>
    </fill>
    <fill>
      <patternFill patternType="solid">
        <fgColor rgb="FFC6D9F0"/>
        <bgColor rgb="FFC6D9F0"/>
      </patternFill>
    </fill>
    <fill>
      <patternFill patternType="solid">
        <fgColor rgb="FF92CDDC"/>
        <bgColor rgb="FF92CDDC"/>
      </patternFill>
    </fill>
    <fill>
      <patternFill patternType="solid">
        <fgColor rgb="FFEA9999"/>
        <bgColor rgb="FFEA9999"/>
      </patternFill>
    </fill>
    <fill>
      <patternFill patternType="solid">
        <fgColor rgb="FFB4E4E8"/>
        <bgColor rgb="FFB4E4E8"/>
      </patternFill>
    </fill>
  </fills>
  <borders count="3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top/>
      <bottom/>
      <diagonal/>
    </border>
    <border>
      <left/>
      <right/>
      <top style="thin">
        <color rgb="FF000000"/>
      </top>
      <bottom style="thin">
        <color rgb="FF000000"/>
      </bottom>
      <diagonal/>
    </border>
  </borders>
  <cellStyleXfs count="1">
    <xf numFmtId="0" fontId="0" fillId="0" borderId="0"/>
  </cellStyleXfs>
  <cellXfs count="182">
    <xf numFmtId="0" fontId="0" fillId="0" borderId="0" xfId="0" applyFont="1" applyAlignment="1"/>
    <xf numFmtId="0" fontId="5" fillId="0" borderId="0" xfId="0" applyFont="1" applyAlignment="1">
      <alignment vertical="center"/>
    </xf>
    <xf numFmtId="0" fontId="3" fillId="0" borderId="0" xfId="0" applyFont="1" applyAlignment="1">
      <alignment horizontal="left" vertical="center"/>
    </xf>
    <xf numFmtId="0" fontId="9" fillId="2" borderId="14" xfId="0" applyFont="1" applyFill="1" applyBorder="1"/>
    <xf numFmtId="0" fontId="10" fillId="3" borderId="15" xfId="0" applyFont="1" applyFill="1" applyBorder="1" applyAlignment="1">
      <alignment vertical="center"/>
    </xf>
    <xf numFmtId="0" fontId="11" fillId="0" borderId="15" xfId="0" applyFont="1" applyBorder="1" applyAlignment="1">
      <alignment horizontal="center" vertical="center" wrapText="1"/>
    </xf>
    <xf numFmtId="0" fontId="12" fillId="3" borderId="15" xfId="0" applyFont="1" applyFill="1" applyBorder="1" applyAlignment="1">
      <alignment horizontal="left" vertical="center"/>
    </xf>
    <xf numFmtId="0" fontId="10" fillId="3" borderId="16" xfId="0" applyFont="1" applyFill="1" applyBorder="1" applyAlignment="1">
      <alignment horizontal="center" vertical="center"/>
    </xf>
    <xf numFmtId="0" fontId="10" fillId="4" borderId="17" xfId="0" applyFont="1" applyFill="1" applyBorder="1" applyAlignment="1">
      <alignment horizontal="left" vertical="center" wrapText="1"/>
    </xf>
    <xf numFmtId="0" fontId="12" fillId="3" borderId="15" xfId="0" applyFont="1" applyFill="1" applyBorder="1" applyAlignment="1">
      <alignment horizontal="center" vertical="center" wrapText="1"/>
    </xf>
    <xf numFmtId="0" fontId="13" fillId="2" borderId="16" xfId="0" applyFont="1" applyFill="1" applyBorder="1" applyAlignment="1">
      <alignment vertical="center"/>
    </xf>
    <xf numFmtId="0" fontId="14" fillId="0" borderId="0" xfId="0" applyFont="1"/>
    <xf numFmtId="0" fontId="10" fillId="3" borderId="18" xfId="0" applyFont="1" applyFill="1" applyBorder="1" applyAlignment="1">
      <alignment vertical="center"/>
    </xf>
    <xf numFmtId="0" fontId="10" fillId="4" borderId="17" xfId="0" applyFont="1" applyFill="1" applyBorder="1" applyAlignment="1">
      <alignment vertical="center" wrapText="1"/>
    </xf>
    <xf numFmtId="0" fontId="10" fillId="3" borderId="19" xfId="0" applyFont="1" applyFill="1" applyBorder="1" applyAlignment="1">
      <alignment horizontal="center" vertical="center"/>
    </xf>
    <xf numFmtId="0" fontId="12" fillId="7" borderId="15" xfId="0" applyFont="1" applyFill="1" applyBorder="1" applyAlignment="1">
      <alignment horizontal="left" vertical="center" wrapText="1"/>
    </xf>
    <xf numFmtId="0" fontId="13" fillId="2" borderId="16" xfId="0" applyFont="1" applyFill="1" applyBorder="1" applyAlignment="1">
      <alignment vertical="center" wrapText="1"/>
    </xf>
    <xf numFmtId="0" fontId="10" fillId="7" borderId="18" xfId="0" applyFont="1" applyFill="1" applyBorder="1" applyAlignment="1">
      <alignment vertical="center" wrapText="1"/>
    </xf>
    <xf numFmtId="0" fontId="13" fillId="0" borderId="0" xfId="0" applyFont="1"/>
    <xf numFmtId="0" fontId="10" fillId="8" borderId="15" xfId="0" applyFont="1" applyFill="1" applyBorder="1" applyAlignment="1">
      <alignment horizontal="left" vertical="center" wrapText="1"/>
    </xf>
    <xf numFmtId="0" fontId="12" fillId="9" borderId="15" xfId="0" applyFont="1" applyFill="1" applyBorder="1" applyAlignment="1">
      <alignment horizontal="center" vertical="center" wrapText="1"/>
    </xf>
    <xf numFmtId="14" fontId="12" fillId="9" borderId="15" xfId="0" applyNumberFormat="1" applyFont="1" applyFill="1" applyBorder="1" applyAlignment="1">
      <alignment horizontal="center" vertical="center" wrapText="1"/>
    </xf>
    <xf numFmtId="49" fontId="10" fillId="9" borderId="15" xfId="0" applyNumberFormat="1" applyFont="1" applyFill="1" applyBorder="1" applyAlignment="1">
      <alignment horizontal="left" vertical="center" wrapText="1"/>
    </xf>
    <xf numFmtId="49" fontId="12" fillId="9" borderId="15" xfId="0" applyNumberFormat="1" applyFont="1" applyFill="1" applyBorder="1" applyAlignment="1">
      <alignment horizontal="center" vertical="center" wrapText="1"/>
    </xf>
    <xf numFmtId="0" fontId="18" fillId="9" borderId="15" xfId="0" applyFont="1" applyFill="1" applyBorder="1" applyAlignment="1">
      <alignment horizontal="center" vertical="center" wrapText="1"/>
    </xf>
    <xf numFmtId="0" fontId="10" fillId="8" borderId="15" xfId="0" applyFont="1" applyFill="1" applyBorder="1" applyAlignment="1">
      <alignment vertical="center" wrapText="1"/>
    </xf>
    <xf numFmtId="0" fontId="10" fillId="11" borderId="15" xfId="0" applyFont="1" applyFill="1" applyBorder="1" applyAlignment="1">
      <alignment horizontal="center" vertical="center" wrapText="1"/>
    </xf>
    <xf numFmtId="0" fontId="10" fillId="11" borderId="15" xfId="0" applyFont="1" applyFill="1" applyBorder="1" applyAlignment="1">
      <alignment vertical="center" wrapText="1"/>
    </xf>
    <xf numFmtId="49" fontId="15" fillId="10" borderId="15" xfId="0" applyNumberFormat="1" applyFont="1" applyFill="1" applyBorder="1" applyAlignment="1">
      <alignment horizontal="center" vertical="center" wrapText="1"/>
    </xf>
    <xf numFmtId="49" fontId="13" fillId="9" borderId="17" xfId="0" applyNumberFormat="1" applyFont="1" applyFill="1" applyBorder="1" applyAlignment="1">
      <alignment vertical="center" wrapText="1"/>
    </xf>
    <xf numFmtId="0" fontId="10" fillId="13" borderId="15" xfId="0" applyFont="1" applyFill="1" applyBorder="1" applyAlignment="1">
      <alignment horizontal="center" vertical="center" wrapText="1"/>
    </xf>
    <xf numFmtId="49" fontId="15" fillId="10" borderId="15" xfId="0" applyNumberFormat="1" applyFont="1" applyFill="1" applyBorder="1" applyAlignment="1">
      <alignment vertical="center" wrapText="1"/>
    </xf>
    <xf numFmtId="0" fontId="10" fillId="14" borderId="15" xfId="0" applyFont="1" applyFill="1" applyBorder="1" applyAlignment="1">
      <alignment vertical="center" wrapText="1"/>
    </xf>
    <xf numFmtId="49" fontId="15" fillId="10" borderId="17" xfId="0" applyNumberFormat="1" applyFont="1" applyFill="1" applyBorder="1" applyAlignment="1">
      <alignment vertical="center"/>
    </xf>
    <xf numFmtId="49" fontId="13" fillId="9" borderId="15" xfId="0" applyNumberFormat="1" applyFont="1" applyFill="1" applyBorder="1" applyAlignment="1">
      <alignment vertical="center" wrapText="1"/>
    </xf>
    <xf numFmtId="0" fontId="10" fillId="15" borderId="15" xfId="0" applyFont="1" applyFill="1" applyBorder="1" applyAlignment="1">
      <alignment horizontal="center" vertical="center" wrapText="1"/>
    </xf>
    <xf numFmtId="0" fontId="12" fillId="11" borderId="15" xfId="0" applyFont="1" applyFill="1" applyBorder="1" applyAlignment="1">
      <alignment horizontal="center" vertical="center" wrapText="1"/>
    </xf>
    <xf numFmtId="14" fontId="13" fillId="15" borderId="15" xfId="0" applyNumberFormat="1" applyFont="1" applyFill="1" applyBorder="1" applyAlignment="1">
      <alignment horizontal="center" vertical="center" wrapText="1"/>
    </xf>
    <xf numFmtId="0" fontId="13" fillId="9" borderId="17" xfId="0" applyFont="1" applyFill="1" applyBorder="1" applyAlignment="1">
      <alignment vertical="center" wrapText="1"/>
    </xf>
    <xf numFmtId="0" fontId="12" fillId="13" borderId="15" xfId="0" applyFont="1" applyFill="1" applyBorder="1" applyAlignment="1">
      <alignment horizontal="center" vertical="center" wrapText="1"/>
    </xf>
    <xf numFmtId="0" fontId="13" fillId="15" borderId="15" xfId="0" applyFont="1" applyFill="1" applyBorder="1" applyAlignment="1">
      <alignment horizontal="center" vertical="center" wrapText="1"/>
    </xf>
    <xf numFmtId="0" fontId="13" fillId="15" borderId="15" xfId="0" applyFont="1" applyFill="1" applyBorder="1" applyAlignment="1">
      <alignment horizontal="center" vertical="center"/>
    </xf>
    <xf numFmtId="0" fontId="16" fillId="13" borderId="15" xfId="0" applyFont="1" applyFill="1" applyBorder="1" applyAlignment="1">
      <alignment vertical="center" wrapText="1"/>
    </xf>
    <xf numFmtId="0" fontId="13" fillId="15" borderId="15" xfId="0" applyFont="1" applyFill="1" applyBorder="1" applyAlignment="1">
      <alignment vertical="center"/>
    </xf>
    <xf numFmtId="0" fontId="10" fillId="0" borderId="0" xfId="0" applyFont="1" applyAlignment="1">
      <alignment horizontal="left"/>
    </xf>
    <xf numFmtId="0" fontId="20" fillId="0" borderId="0" xfId="0" applyFont="1" applyAlignment="1">
      <alignment vertical="center" wrapText="1"/>
    </xf>
    <xf numFmtId="49" fontId="14" fillId="0" borderId="0" xfId="0" applyNumberFormat="1" applyFont="1" applyAlignment="1">
      <alignment vertical="center" wrapText="1"/>
    </xf>
    <xf numFmtId="0" fontId="16" fillId="13" borderId="15" xfId="0" applyFont="1" applyFill="1" applyBorder="1" applyAlignment="1">
      <alignment horizontal="center" vertical="center" wrapText="1"/>
    </xf>
    <xf numFmtId="0" fontId="14" fillId="0" borderId="0" xfId="0" applyFont="1" applyAlignment="1">
      <alignment vertical="center" wrapText="1"/>
    </xf>
    <xf numFmtId="0" fontId="14" fillId="6" borderId="14" xfId="0" applyFont="1" applyFill="1" applyBorder="1" applyAlignment="1">
      <alignment vertical="center" wrapText="1"/>
    </xf>
    <xf numFmtId="0" fontId="12" fillId="15" borderId="15" xfId="0" applyFont="1" applyFill="1" applyBorder="1" applyAlignment="1">
      <alignment horizontal="center" vertical="center" wrapText="1"/>
    </xf>
    <xf numFmtId="0" fontId="14" fillId="6" borderId="26" xfId="0" applyFont="1" applyFill="1" applyBorder="1" applyAlignment="1">
      <alignment vertical="center" wrapText="1"/>
    </xf>
    <xf numFmtId="0" fontId="16" fillId="15" borderId="15" xfId="0" applyFont="1" applyFill="1" applyBorder="1" applyAlignment="1">
      <alignment horizontal="center" vertical="center" wrapText="1"/>
    </xf>
    <xf numFmtId="49" fontId="15" fillId="10" borderId="17" xfId="0" applyNumberFormat="1" applyFont="1" applyFill="1" applyBorder="1" applyAlignment="1">
      <alignment horizontal="center" vertical="center" wrapText="1"/>
    </xf>
    <xf numFmtId="0" fontId="20" fillId="0" borderId="0" xfId="0" applyFont="1" applyAlignment="1">
      <alignment horizontal="center" vertical="center" wrapText="1"/>
    </xf>
    <xf numFmtId="0" fontId="14" fillId="0" borderId="0" xfId="0" applyFont="1" applyAlignment="1">
      <alignment horizontal="center" vertical="center" wrapText="1"/>
    </xf>
    <xf numFmtId="49" fontId="15" fillId="10" borderId="16" xfId="0" applyNumberFormat="1" applyFont="1" applyFill="1" applyBorder="1" applyAlignment="1">
      <alignment horizontal="center" vertical="center" wrapText="1"/>
    </xf>
    <xf numFmtId="49" fontId="15" fillId="10" borderId="28" xfId="0" applyNumberFormat="1" applyFont="1" applyFill="1" applyBorder="1" applyAlignment="1">
      <alignment horizontal="center" vertical="center" wrapText="1"/>
    </xf>
    <xf numFmtId="0" fontId="12" fillId="3" borderId="15" xfId="0" applyFont="1" applyFill="1" applyBorder="1" applyAlignment="1">
      <alignment horizontal="center" vertical="center"/>
    </xf>
    <xf numFmtId="49" fontId="15" fillId="10" borderId="29" xfId="0" applyNumberFormat="1" applyFont="1" applyFill="1" applyBorder="1" applyAlignment="1">
      <alignment horizontal="center" vertical="center" wrapText="1"/>
    </xf>
    <xf numFmtId="0" fontId="13" fillId="9" borderId="30" xfId="0" applyFont="1" applyFill="1" applyBorder="1" applyAlignment="1">
      <alignment vertical="center" wrapText="1"/>
    </xf>
    <xf numFmtId="49" fontId="15" fillId="10" borderId="31" xfId="0" applyNumberFormat="1" applyFont="1" applyFill="1" applyBorder="1" applyAlignment="1">
      <alignment horizontal="center" vertical="center" wrapText="1"/>
    </xf>
    <xf numFmtId="49" fontId="13" fillId="9" borderId="30" xfId="0" applyNumberFormat="1" applyFont="1" applyFill="1" applyBorder="1" applyAlignment="1">
      <alignment vertical="center" wrapText="1"/>
    </xf>
    <xf numFmtId="49" fontId="15" fillId="10" borderId="30" xfId="0" applyNumberFormat="1" applyFont="1" applyFill="1" applyBorder="1" applyAlignment="1">
      <alignment horizontal="center" vertical="center" wrapText="1"/>
    </xf>
    <xf numFmtId="49" fontId="15" fillId="10" borderId="32" xfId="0" applyNumberFormat="1" applyFont="1" applyFill="1" applyBorder="1" applyAlignment="1">
      <alignment horizontal="center" vertical="center" wrapText="1"/>
    </xf>
    <xf numFmtId="49" fontId="13" fillId="9" borderId="29" xfId="0" applyNumberFormat="1" applyFont="1" applyFill="1" applyBorder="1" applyAlignment="1">
      <alignment vertical="center" wrapText="1"/>
    </xf>
    <xf numFmtId="0" fontId="16" fillId="9" borderId="15" xfId="0" applyFont="1" applyFill="1" applyBorder="1" applyAlignment="1">
      <alignment horizontal="center" vertical="center" wrapText="1"/>
    </xf>
    <xf numFmtId="0" fontId="11" fillId="0" borderId="0" xfId="0" applyFont="1"/>
    <xf numFmtId="0" fontId="21" fillId="0" borderId="0" xfId="0" applyFont="1"/>
    <xf numFmtId="0" fontId="22" fillId="0" borderId="0" xfId="0" applyFont="1" applyAlignment="1"/>
    <xf numFmtId="0" fontId="12" fillId="9" borderId="29" xfId="0" applyFont="1" applyFill="1" applyBorder="1" applyAlignment="1">
      <alignment horizontal="center" vertical="center" wrapText="1"/>
    </xf>
    <xf numFmtId="49" fontId="16" fillId="9" borderId="28" xfId="0" applyNumberFormat="1" applyFont="1" applyFill="1" applyBorder="1" applyAlignment="1">
      <alignment vertical="center" wrapText="1"/>
    </xf>
    <xf numFmtId="49" fontId="16" fillId="9" borderId="15" xfId="0" applyNumberFormat="1" applyFont="1" applyFill="1" applyBorder="1" applyAlignment="1">
      <alignment vertical="center" wrapText="1"/>
    </xf>
    <xf numFmtId="0" fontId="16" fillId="9" borderId="18" xfId="0" applyFont="1" applyFill="1" applyBorder="1" applyAlignment="1">
      <alignment horizontal="center" vertical="center" wrapText="1"/>
    </xf>
    <xf numFmtId="49" fontId="10" fillId="9" borderId="17" xfId="0" applyNumberFormat="1" applyFont="1" applyFill="1" applyBorder="1" applyAlignment="1">
      <alignment horizontal="left" vertical="center" wrapText="1"/>
    </xf>
    <xf numFmtId="0" fontId="13" fillId="2" borderId="16" xfId="0" applyFont="1" applyFill="1" applyBorder="1" applyAlignment="1">
      <alignment vertical="center" wrapText="1"/>
    </xf>
    <xf numFmtId="14" fontId="13" fillId="15" borderId="15" xfId="0" applyNumberFormat="1" applyFont="1" applyFill="1" applyBorder="1" applyAlignment="1">
      <alignment horizontal="center" vertical="center" wrapText="1"/>
    </xf>
    <xf numFmtId="0" fontId="13" fillId="15" borderId="15" xfId="0" applyFont="1" applyFill="1" applyBorder="1" applyAlignment="1">
      <alignment vertical="center"/>
    </xf>
    <xf numFmtId="0" fontId="4" fillId="0" borderId="0" xfId="0" applyFont="1" applyAlignment="1">
      <alignment horizontal="center" vertical="center" wrapText="1"/>
    </xf>
    <xf numFmtId="0" fontId="1" fillId="0" borderId="0" xfId="0" applyFont="1" applyAlignment="1">
      <alignment vertical="center" wrapText="1"/>
    </xf>
    <xf numFmtId="0" fontId="23" fillId="2" borderId="15" xfId="0" applyFont="1" applyFill="1" applyBorder="1" applyAlignment="1">
      <alignment horizontal="left" vertical="center" wrapText="1"/>
    </xf>
    <xf numFmtId="0" fontId="23" fillId="2" borderId="15" xfId="0" applyFont="1" applyFill="1" applyBorder="1" applyAlignment="1">
      <alignment horizontal="center" vertical="center" wrapText="1"/>
    </xf>
    <xf numFmtId="0" fontId="24" fillId="2" borderId="15" xfId="0" applyFont="1" applyFill="1" applyBorder="1" applyAlignment="1">
      <alignment horizontal="center" vertical="center" wrapText="1"/>
    </xf>
    <xf numFmtId="164" fontId="24" fillId="2" borderId="15" xfId="0" applyNumberFormat="1" applyFont="1" applyFill="1" applyBorder="1" applyAlignment="1">
      <alignment horizontal="center" vertical="center" wrapText="1"/>
    </xf>
    <xf numFmtId="165" fontId="24" fillId="2" borderId="15" xfId="0" applyNumberFormat="1" applyFont="1" applyFill="1" applyBorder="1" applyAlignment="1">
      <alignment horizontal="center" vertical="center" wrapText="1"/>
    </xf>
    <xf numFmtId="0" fontId="24" fillId="2" borderId="29" xfId="0" applyFont="1" applyFill="1" applyBorder="1" applyAlignment="1">
      <alignment horizontal="center" vertical="center" wrapText="1"/>
    </xf>
    <xf numFmtId="165" fontId="24" fillId="2" borderId="29" xfId="0" applyNumberFormat="1" applyFont="1" applyFill="1" applyBorder="1" applyAlignment="1">
      <alignment horizontal="center" vertical="center" wrapText="1"/>
    </xf>
    <xf numFmtId="164" fontId="24" fillId="2" borderId="29" xfId="0" applyNumberFormat="1" applyFont="1" applyFill="1" applyBorder="1" applyAlignment="1">
      <alignment horizontal="center" vertical="center" wrapText="1"/>
    </xf>
    <xf numFmtId="0" fontId="23" fillId="2" borderId="17" xfId="0" applyFont="1" applyFill="1" applyBorder="1" applyAlignment="1">
      <alignment horizontal="left" vertical="center" wrapText="1"/>
    </xf>
    <xf numFmtId="0" fontId="1" fillId="0" borderId="15" xfId="0" applyFont="1" applyBorder="1" applyAlignment="1">
      <alignment vertical="center" wrapText="1"/>
    </xf>
    <xf numFmtId="0" fontId="13" fillId="10" borderId="4" xfId="0" applyFont="1" applyFill="1" applyBorder="1" applyAlignment="1">
      <alignment horizontal="left" vertical="center" wrapText="1"/>
    </xf>
    <xf numFmtId="0" fontId="2" fillId="0" borderId="5" xfId="0" applyFont="1" applyBorder="1"/>
    <xf numFmtId="0" fontId="2" fillId="0" borderId="9" xfId="0" applyFont="1" applyBorder="1"/>
    <xf numFmtId="0" fontId="15" fillId="10" borderId="4" xfId="0" applyFont="1" applyFill="1" applyBorder="1" applyAlignment="1">
      <alignment horizontal="left" vertical="center" wrapText="1"/>
    </xf>
    <xf numFmtId="0" fontId="17" fillId="10" borderId="7" xfId="0" applyFont="1" applyFill="1" applyBorder="1" applyAlignment="1">
      <alignment horizontal="center" vertical="center" textRotation="90" wrapText="1"/>
    </xf>
    <xf numFmtId="0" fontId="2" fillId="0" borderId="23" xfId="0" applyFont="1" applyBorder="1"/>
    <xf numFmtId="0" fontId="2" fillId="0" borderId="25" xfId="0" applyFont="1" applyBorder="1"/>
    <xf numFmtId="0" fontId="2" fillId="0" borderId="13" xfId="0" applyFont="1" applyBorder="1"/>
    <xf numFmtId="0" fontId="19" fillId="12" borderId="7" xfId="0" applyFont="1" applyFill="1" applyBorder="1" applyAlignment="1">
      <alignment horizontal="center" vertical="center" textRotation="90" wrapText="1"/>
    </xf>
    <xf numFmtId="0" fontId="17" fillId="10" borderId="27" xfId="0" applyFont="1" applyFill="1" applyBorder="1" applyAlignment="1">
      <alignment horizontal="center" vertical="center" textRotation="90" wrapText="1"/>
    </xf>
    <xf numFmtId="0" fontId="10" fillId="10" borderId="7" xfId="0" applyFont="1" applyFill="1" applyBorder="1" applyAlignment="1">
      <alignment horizontal="center" vertical="center" textRotation="90" wrapText="1"/>
    </xf>
    <xf numFmtId="0" fontId="10" fillId="15" borderId="4" xfId="0" applyFont="1" applyFill="1" applyBorder="1" applyAlignment="1">
      <alignment horizontal="center" vertical="center" wrapText="1"/>
    </xf>
    <xf numFmtId="0" fontId="10" fillId="15" borderId="4" xfId="0" applyFont="1" applyFill="1" applyBorder="1" applyAlignment="1">
      <alignment horizontal="center" vertical="center"/>
    </xf>
    <xf numFmtId="0" fontId="10" fillId="17" borderId="4" xfId="0" applyFont="1" applyFill="1" applyBorder="1" applyAlignment="1">
      <alignment horizontal="center" vertical="center" wrapText="1"/>
    </xf>
    <xf numFmtId="0" fontId="13" fillId="17" borderId="4" xfId="0" applyFont="1" applyFill="1" applyBorder="1" applyAlignment="1">
      <alignment horizontal="center" vertical="center" wrapText="1"/>
    </xf>
    <xf numFmtId="0" fontId="13" fillId="17" borderId="4" xfId="0" applyFont="1" applyFill="1" applyBorder="1" applyAlignment="1">
      <alignment horizontal="center" vertical="center"/>
    </xf>
    <xf numFmtId="14" fontId="13" fillId="17" borderId="4" xfId="0" applyNumberFormat="1" applyFont="1" applyFill="1" applyBorder="1" applyAlignment="1">
      <alignment horizontal="center" vertical="center" wrapText="1"/>
    </xf>
    <xf numFmtId="0" fontId="10" fillId="16" borderId="33" xfId="0" applyFont="1" applyFill="1" applyBorder="1" applyAlignment="1">
      <alignment horizontal="center" vertical="center" wrapText="1"/>
    </xf>
    <xf numFmtId="0" fontId="2" fillId="0" borderId="34" xfId="0" applyFont="1" applyBorder="1"/>
    <xf numFmtId="0" fontId="2" fillId="0" borderId="35" xfId="0" applyFont="1" applyBorder="1"/>
    <xf numFmtId="0" fontId="1" fillId="0" borderId="1" xfId="0" applyFont="1" applyBorder="1" applyAlignment="1">
      <alignment horizontal="center" vertical="center" wrapText="1"/>
    </xf>
    <xf numFmtId="0" fontId="2" fillId="0" borderId="2" xfId="0" applyFont="1" applyBorder="1"/>
    <xf numFmtId="0" fontId="2" fillId="0" borderId="6" xfId="0" applyFont="1" applyBorder="1"/>
    <xf numFmtId="0" fontId="0" fillId="0" borderId="0" xfId="0" applyFont="1" applyAlignment="1"/>
    <xf numFmtId="0" fontId="2" fillId="0" borderId="10" xfId="0" applyFont="1" applyBorder="1"/>
    <xf numFmtId="0" fontId="2" fillId="0" borderId="11" xfId="0" applyFont="1" applyBorder="1"/>
    <xf numFmtId="0" fontId="4" fillId="0" borderId="4" xfId="0" applyFont="1" applyBorder="1" applyAlignment="1">
      <alignment horizontal="center" vertical="center" wrapText="1"/>
    </xf>
    <xf numFmtId="0" fontId="6" fillId="0" borderId="4" xfId="0" applyFont="1" applyBorder="1" applyAlignment="1">
      <alignment horizontal="center" vertical="center" wrapText="1"/>
    </xf>
    <xf numFmtId="0" fontId="8" fillId="0" borderId="4" xfId="0" applyFont="1" applyBorder="1" applyAlignment="1">
      <alignment horizontal="center" vertical="center" wrapText="1"/>
    </xf>
    <xf numFmtId="0" fontId="1" fillId="0" borderId="4" xfId="0" applyFont="1" applyBorder="1" applyAlignment="1">
      <alignment horizontal="center"/>
    </xf>
    <xf numFmtId="0" fontId="13" fillId="10" borderId="4" xfId="0" applyFont="1" applyFill="1" applyBorder="1" applyAlignment="1">
      <alignment horizontal="center" vertical="center" wrapText="1"/>
    </xf>
    <xf numFmtId="0" fontId="1" fillId="0" borderId="6" xfId="0" applyFont="1" applyBorder="1" applyAlignment="1">
      <alignment horizontal="center" vertical="center" wrapText="1"/>
    </xf>
    <xf numFmtId="0" fontId="17" fillId="10" borderId="20" xfId="0" applyFont="1" applyFill="1" applyBorder="1" applyAlignment="1">
      <alignment horizontal="center" vertical="center" wrapText="1"/>
    </xf>
    <xf numFmtId="0" fontId="2" fillId="0" borderId="21" xfId="0" applyFont="1" applyBorder="1"/>
    <xf numFmtId="0" fontId="2" fillId="0" borderId="22" xfId="0" applyFont="1" applyBorder="1"/>
    <xf numFmtId="0" fontId="2" fillId="0" borderId="24" xfId="0" applyFont="1" applyBorder="1"/>
    <xf numFmtId="0" fontId="15" fillId="5" borderId="4" xfId="0" applyFont="1" applyFill="1" applyBorder="1" applyAlignment="1">
      <alignment horizontal="left" vertical="center" wrapText="1"/>
    </xf>
    <xf numFmtId="0" fontId="10" fillId="10" borderId="20" xfId="0" applyFont="1" applyFill="1" applyBorder="1" applyAlignment="1">
      <alignment horizontal="center" vertical="center" wrapText="1"/>
    </xf>
    <xf numFmtId="0" fontId="13" fillId="10" borderId="20" xfId="0" applyFont="1" applyFill="1" applyBorder="1" applyAlignment="1">
      <alignment horizontal="center" vertical="center" wrapText="1"/>
    </xf>
    <xf numFmtId="0" fontId="17" fillId="10" borderId="7" xfId="0" applyFont="1" applyFill="1" applyBorder="1" applyAlignment="1">
      <alignment horizontal="center" vertical="center" textRotation="90"/>
    </xf>
    <xf numFmtId="0" fontId="10" fillId="9" borderId="7" xfId="0" applyFont="1" applyFill="1" applyBorder="1" applyAlignment="1">
      <alignment horizontal="center" vertical="center" textRotation="90" wrapText="1"/>
    </xf>
    <xf numFmtId="0" fontId="10" fillId="9" borderId="7" xfId="0" applyFont="1" applyFill="1" applyBorder="1" applyAlignment="1">
      <alignment horizontal="left" vertical="center" wrapText="1"/>
    </xf>
    <xf numFmtId="0" fontId="1" fillId="0" borderId="1" xfId="0" applyFont="1" applyBorder="1" applyAlignment="1">
      <alignment horizontal="center" vertical="center"/>
    </xf>
    <xf numFmtId="0" fontId="2" fillId="0" borderId="3" xfId="0" applyFont="1" applyBorder="1"/>
    <xf numFmtId="0" fontId="2" fillId="0" borderId="12" xfId="0" applyFont="1" applyBorder="1"/>
    <xf numFmtId="0" fontId="3" fillId="0" borderId="1" xfId="0" applyFont="1" applyBorder="1" applyAlignment="1">
      <alignment horizontal="center" vertical="center"/>
    </xf>
    <xf numFmtId="0" fontId="1" fillId="0" borderId="7" xfId="0" applyFont="1" applyBorder="1" applyAlignment="1">
      <alignment horizontal="center" vertical="center"/>
    </xf>
    <xf numFmtId="0" fontId="3" fillId="0" borderId="4" xfId="0" applyFont="1" applyBorder="1" applyAlignment="1">
      <alignment horizontal="center" vertical="center"/>
    </xf>
    <xf numFmtId="0" fontId="7" fillId="0" borderId="2" xfId="0" applyFont="1" applyBorder="1" applyAlignment="1">
      <alignment horizontal="right" vertical="center"/>
    </xf>
    <xf numFmtId="0" fontId="10" fillId="0" borderId="4" xfId="0" applyFont="1" applyBorder="1" applyAlignment="1">
      <alignment horizontal="left" vertical="center"/>
    </xf>
    <xf numFmtId="0" fontId="13" fillId="7" borderId="4" xfId="0" applyFont="1" applyFill="1" applyBorder="1" applyAlignment="1">
      <alignment horizontal="left" vertical="center" wrapText="1"/>
    </xf>
    <xf numFmtId="49" fontId="13" fillId="9" borderId="4" xfId="0" applyNumberFormat="1" applyFont="1" applyFill="1" applyBorder="1" applyAlignment="1">
      <alignment horizontal="left" vertical="center" wrapText="1"/>
    </xf>
    <xf numFmtId="0" fontId="13" fillId="9" borderId="4" xfId="0" applyFont="1" applyFill="1" applyBorder="1" applyAlignment="1">
      <alignment horizontal="left" vertical="center" wrapText="1"/>
    </xf>
    <xf numFmtId="0" fontId="13" fillId="11" borderId="4" xfId="0" applyFont="1" applyFill="1" applyBorder="1" applyAlignment="1">
      <alignment vertical="center" wrapText="1"/>
    </xf>
    <xf numFmtId="49" fontId="13" fillId="11" borderId="4" xfId="0" applyNumberFormat="1" applyFont="1" applyFill="1" applyBorder="1" applyAlignment="1">
      <alignment horizontal="left" vertical="center" wrapText="1"/>
    </xf>
    <xf numFmtId="49" fontId="13" fillId="14" borderId="4" xfId="0" applyNumberFormat="1" applyFont="1" applyFill="1" applyBorder="1" applyAlignment="1">
      <alignment horizontal="left" vertical="center" wrapText="1"/>
    </xf>
    <xf numFmtId="49" fontId="10" fillId="15" borderId="4" xfId="0" applyNumberFormat="1" applyFont="1" applyFill="1" applyBorder="1" applyAlignment="1">
      <alignment horizontal="center" vertical="center" wrapText="1"/>
    </xf>
    <xf numFmtId="0" fontId="10" fillId="15" borderId="7" xfId="0" applyFont="1" applyFill="1" applyBorder="1" applyAlignment="1">
      <alignment horizontal="center" vertical="center" wrapText="1"/>
    </xf>
    <xf numFmtId="0" fontId="13" fillId="15" borderId="1" xfId="0" applyFont="1" applyFill="1" applyBorder="1" applyAlignment="1">
      <alignment horizontal="left" vertical="center"/>
    </xf>
    <xf numFmtId="14" fontId="13" fillId="15" borderId="4" xfId="0" applyNumberFormat="1" applyFont="1" applyFill="1" applyBorder="1" applyAlignment="1">
      <alignment horizontal="left" vertical="center" wrapText="1"/>
    </xf>
    <xf numFmtId="0" fontId="10" fillId="16" borderId="4" xfId="0" applyFont="1" applyFill="1" applyBorder="1" applyAlignment="1">
      <alignment horizontal="center" vertical="center" wrapText="1"/>
    </xf>
    <xf numFmtId="49" fontId="13" fillId="15" borderId="4" xfId="0" applyNumberFormat="1" applyFont="1" applyFill="1" applyBorder="1" applyAlignment="1">
      <alignment vertical="center" wrapText="1"/>
    </xf>
    <xf numFmtId="0" fontId="13" fillId="11" borderId="4" xfId="0" applyFont="1" applyFill="1" applyBorder="1" applyAlignment="1">
      <alignment horizontal="left" vertical="center" wrapText="1"/>
    </xf>
    <xf numFmtId="0" fontId="13" fillId="13" borderId="4" xfId="0" applyFont="1" applyFill="1" applyBorder="1" applyAlignment="1">
      <alignment horizontal="left" vertical="center" wrapText="1"/>
    </xf>
    <xf numFmtId="0" fontId="10" fillId="14" borderId="7" xfId="0" applyFont="1" applyFill="1" applyBorder="1" applyAlignment="1">
      <alignment horizontal="center" vertical="center" wrapText="1"/>
    </xf>
    <xf numFmtId="0" fontId="13" fillId="15" borderId="7" xfId="0" applyFont="1" applyFill="1" applyBorder="1" applyAlignment="1">
      <alignment horizontal="left" vertical="center"/>
    </xf>
    <xf numFmtId="0" fontId="10" fillId="11" borderId="7" xfId="0" applyFont="1" applyFill="1" applyBorder="1" applyAlignment="1">
      <alignment horizontal="center" vertical="center" wrapText="1"/>
    </xf>
    <xf numFmtId="0" fontId="2" fillId="0" borderId="8" xfId="0" applyFont="1" applyBorder="1"/>
    <xf numFmtId="0" fontId="12" fillId="6" borderId="4" xfId="0" applyFont="1" applyFill="1" applyBorder="1" applyAlignment="1">
      <alignment horizontal="center" vertical="center"/>
    </xf>
    <xf numFmtId="0" fontId="12" fillId="9" borderId="4" xfId="0" applyFont="1" applyFill="1" applyBorder="1" applyAlignment="1">
      <alignment horizontal="center" vertical="center" wrapText="1"/>
    </xf>
    <xf numFmtId="49" fontId="16" fillId="9" borderId="4" xfId="0" applyNumberFormat="1" applyFont="1" applyFill="1" applyBorder="1" applyAlignment="1">
      <alignment horizontal="left" vertical="center" wrapText="1"/>
    </xf>
    <xf numFmtId="0" fontId="16" fillId="9" borderId="4" xfId="0" applyFont="1" applyFill="1" applyBorder="1" applyAlignment="1">
      <alignment horizontal="center" vertical="center" wrapText="1"/>
    </xf>
    <xf numFmtId="0" fontId="12" fillId="0" borderId="4" xfId="0" applyFont="1" applyBorder="1" applyAlignment="1">
      <alignment horizontal="left" vertical="center"/>
    </xf>
    <xf numFmtId="0" fontId="12" fillId="0" borderId="10" xfId="0" applyFont="1" applyBorder="1" applyAlignment="1">
      <alignment horizontal="left" vertical="center"/>
    </xf>
    <xf numFmtId="0" fontId="12" fillId="6" borderId="4" xfId="0" applyFont="1" applyFill="1" applyBorder="1" applyAlignment="1">
      <alignment horizontal="center" vertical="center" wrapText="1"/>
    </xf>
    <xf numFmtId="0" fontId="16" fillId="7" borderId="4" xfId="0" applyFont="1" applyFill="1" applyBorder="1" applyAlignment="1">
      <alignment horizontal="left" vertical="center" wrapText="1"/>
    </xf>
    <xf numFmtId="0" fontId="12" fillId="9" borderId="7" xfId="0" applyFont="1" applyFill="1" applyBorder="1" applyAlignment="1">
      <alignment horizontal="center" vertical="center" wrapText="1"/>
    </xf>
    <xf numFmtId="0" fontId="16" fillId="9" borderId="4" xfId="0" applyFont="1" applyFill="1" applyBorder="1" applyAlignment="1">
      <alignment horizontal="left" vertical="center" wrapText="1"/>
    </xf>
    <xf numFmtId="0" fontId="12" fillId="13" borderId="4" xfId="0" applyFont="1" applyFill="1" applyBorder="1" applyAlignment="1">
      <alignment horizontal="center" vertical="center" wrapText="1"/>
    </xf>
    <xf numFmtId="0" fontId="16" fillId="13" borderId="4" xfId="0" applyFont="1" applyFill="1" applyBorder="1" applyAlignment="1">
      <alignment horizontal="center" vertical="center" wrapText="1"/>
    </xf>
    <xf numFmtId="0" fontId="16" fillId="11" borderId="4" xfId="0" applyFont="1" applyFill="1" applyBorder="1" applyAlignment="1">
      <alignment horizontal="left" vertical="center" wrapText="1"/>
    </xf>
    <xf numFmtId="0" fontId="12" fillId="13" borderId="4" xfId="0" applyFont="1" applyFill="1" applyBorder="1" applyAlignment="1">
      <alignment horizontal="right" vertical="center" wrapText="1"/>
    </xf>
    <xf numFmtId="0" fontId="12" fillId="15" borderId="7"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13" borderId="7"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0" fillId="0" borderId="4" xfId="0" applyFont="1" applyBorder="1" applyAlignment="1">
      <alignment horizontal="left" vertical="center" wrapText="1"/>
    </xf>
    <xf numFmtId="0" fontId="2" fillId="0" borderId="36" xfId="0" applyFont="1" applyBorder="1"/>
    <xf numFmtId="49" fontId="16" fillId="9" borderId="4" xfId="0" applyNumberFormat="1" applyFont="1" applyFill="1" applyBorder="1" applyAlignment="1">
      <alignment horizontal="center" vertical="center" wrapText="1"/>
    </xf>
    <xf numFmtId="49" fontId="13" fillId="9" borderId="20" xfId="0" applyNumberFormat="1" applyFont="1" applyFill="1" applyBorder="1" applyAlignment="1">
      <alignment horizontal="left" vertical="center" wrapText="1"/>
    </xf>
    <xf numFmtId="14" fontId="16" fillId="15" borderId="15"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466725</xdr:colOff>
      <xdr:row>0</xdr:row>
      <xdr:rowOff>0</xdr:rowOff>
    </xdr:from>
    <xdr:ext cx="1390650" cy="10096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590550</xdr:colOff>
      <xdr:row>0</xdr:row>
      <xdr:rowOff>0</xdr:rowOff>
    </xdr:from>
    <xdr:ext cx="1524000" cy="1009650"/>
    <xdr:pic>
      <xdr:nvPicPr>
        <xdr:cNvPr id="3" name="image2.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933450</xdr:colOff>
      <xdr:row>16</xdr:row>
      <xdr:rowOff>971550</xdr:rowOff>
    </xdr:from>
    <xdr:ext cx="247650" cy="323850"/>
    <xdr:sp macro="" textlink="">
      <xdr:nvSpPr>
        <xdr:cNvPr id="3" name="Shape 3">
          <a:extLst>
            <a:ext uri="{FF2B5EF4-FFF2-40B4-BE49-F238E27FC236}">
              <a16:creationId xmlns:a16="http://schemas.microsoft.com/office/drawing/2014/main" id="{00000000-0008-0000-01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933450</xdr:colOff>
      <xdr:row>26</xdr:row>
      <xdr:rowOff>971550</xdr:rowOff>
    </xdr:from>
    <xdr:ext cx="247650" cy="323850"/>
    <xdr:sp macro="" textlink="">
      <xdr:nvSpPr>
        <xdr:cNvPr id="2" name="Shape 3">
          <a:extLst>
            <a:ext uri="{FF2B5EF4-FFF2-40B4-BE49-F238E27FC236}">
              <a16:creationId xmlns:a16="http://schemas.microsoft.com/office/drawing/2014/main" id="{00000000-0008-0000-01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638175</xdr:colOff>
      <xdr:row>0</xdr:row>
      <xdr:rowOff>28575</xdr:rowOff>
    </xdr:from>
    <xdr:ext cx="1962150" cy="609600"/>
    <xdr:pic>
      <xdr:nvPicPr>
        <xdr:cNvPr id="4" name="image3.png" title="Image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619125</xdr:colOff>
      <xdr:row>0</xdr:row>
      <xdr:rowOff>28575</xdr:rowOff>
    </xdr:from>
    <xdr:ext cx="647700" cy="619125"/>
    <xdr:pic>
      <xdr:nvPicPr>
        <xdr:cNvPr id="5" name="image4.jpg" title="Image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352425</xdr:colOff>
      <xdr:row>0</xdr:row>
      <xdr:rowOff>28575</xdr:rowOff>
    </xdr:from>
    <xdr:ext cx="1962150" cy="609600"/>
    <xdr:pic>
      <xdr:nvPicPr>
        <xdr:cNvPr id="2" name="image3.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466725</xdr:colOff>
      <xdr:row>0</xdr:row>
      <xdr:rowOff>19050</xdr:rowOff>
    </xdr:from>
    <xdr:ext cx="647700" cy="619125"/>
    <xdr:pic>
      <xdr:nvPicPr>
        <xdr:cNvPr id="3" name="image4.jpg"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933450</xdr:colOff>
      <xdr:row>16</xdr:row>
      <xdr:rowOff>971550</xdr:rowOff>
    </xdr:from>
    <xdr:ext cx="247650" cy="323850"/>
    <xdr:sp macro="" textlink="">
      <xdr:nvSpPr>
        <xdr:cNvPr id="3" name="Shape 3">
          <a:extLst>
            <a:ext uri="{FF2B5EF4-FFF2-40B4-BE49-F238E27FC236}">
              <a16:creationId xmlns:a16="http://schemas.microsoft.com/office/drawing/2014/main" id="{00000000-0008-0000-03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933450</xdr:colOff>
      <xdr:row>26</xdr:row>
      <xdr:rowOff>971550</xdr:rowOff>
    </xdr:from>
    <xdr:ext cx="247650" cy="323850"/>
    <xdr:sp macro="" textlink="">
      <xdr:nvSpPr>
        <xdr:cNvPr id="2" name="Shape 3">
          <a:extLst>
            <a:ext uri="{FF2B5EF4-FFF2-40B4-BE49-F238E27FC236}">
              <a16:creationId xmlns:a16="http://schemas.microsoft.com/office/drawing/2014/main" id="{00000000-0008-0000-03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638175</xdr:colOff>
      <xdr:row>0</xdr:row>
      <xdr:rowOff>28575</xdr:rowOff>
    </xdr:from>
    <xdr:ext cx="1962150" cy="609600"/>
    <xdr:pic>
      <xdr:nvPicPr>
        <xdr:cNvPr id="4" name="image3.png" title="Imagen">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0</xdr:row>
      <xdr:rowOff>0</xdr:rowOff>
    </xdr:from>
    <xdr:ext cx="409575" cy="409575"/>
    <xdr:pic>
      <xdr:nvPicPr>
        <xdr:cNvPr id="5" name="image4.jp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352425</xdr:colOff>
      <xdr:row>0</xdr:row>
      <xdr:rowOff>28575</xdr:rowOff>
    </xdr:from>
    <xdr:ext cx="1962150" cy="609600"/>
    <xdr:pic>
      <xdr:nvPicPr>
        <xdr:cNvPr id="2" name="image3.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466725</xdr:colOff>
      <xdr:row>0</xdr:row>
      <xdr:rowOff>19050</xdr:rowOff>
    </xdr:from>
    <xdr:ext cx="647700" cy="619125"/>
    <xdr:pic>
      <xdr:nvPicPr>
        <xdr:cNvPr id="3" name="image4.jp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933450</xdr:colOff>
      <xdr:row>11</xdr:row>
      <xdr:rowOff>971550</xdr:rowOff>
    </xdr:from>
    <xdr:ext cx="247650" cy="323850"/>
    <xdr:sp macro="" textlink="">
      <xdr:nvSpPr>
        <xdr:cNvPr id="3" name="Shape 3">
          <a:extLst>
            <a:ext uri="{FF2B5EF4-FFF2-40B4-BE49-F238E27FC236}">
              <a16:creationId xmlns:a16="http://schemas.microsoft.com/office/drawing/2014/main" id="{00000000-0008-0000-05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933450</xdr:colOff>
      <xdr:row>16</xdr:row>
      <xdr:rowOff>971550</xdr:rowOff>
    </xdr:from>
    <xdr:ext cx="247650" cy="323850"/>
    <xdr:sp macro="" textlink="">
      <xdr:nvSpPr>
        <xdr:cNvPr id="2" name="Shape 3">
          <a:extLst>
            <a:ext uri="{FF2B5EF4-FFF2-40B4-BE49-F238E27FC236}">
              <a16:creationId xmlns:a16="http://schemas.microsoft.com/office/drawing/2014/main" id="{00000000-0008-0000-05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933450</xdr:colOff>
      <xdr:row>26</xdr:row>
      <xdr:rowOff>971550</xdr:rowOff>
    </xdr:from>
    <xdr:ext cx="247650" cy="323850"/>
    <xdr:sp macro="" textlink="">
      <xdr:nvSpPr>
        <xdr:cNvPr id="4" name="Shape 3">
          <a:extLst>
            <a:ext uri="{FF2B5EF4-FFF2-40B4-BE49-F238E27FC236}">
              <a16:creationId xmlns:a16="http://schemas.microsoft.com/office/drawing/2014/main" id="{00000000-0008-0000-0500-000004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638175</xdr:colOff>
      <xdr:row>0</xdr:row>
      <xdr:rowOff>28575</xdr:rowOff>
    </xdr:from>
    <xdr:ext cx="1962150" cy="609600"/>
    <xdr:pic>
      <xdr:nvPicPr>
        <xdr:cNvPr id="5" name="image3.png" title="Imagen">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0</xdr:row>
      <xdr:rowOff>0</xdr:rowOff>
    </xdr:from>
    <xdr:ext cx="409575" cy="409575"/>
    <xdr:pic>
      <xdr:nvPicPr>
        <xdr:cNvPr id="6" name="image4.jp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123825</xdr:colOff>
      <xdr:row>0</xdr:row>
      <xdr:rowOff>19050</xdr:rowOff>
    </xdr:from>
    <xdr:ext cx="2171700" cy="638175"/>
    <xdr:pic>
      <xdr:nvPicPr>
        <xdr:cNvPr id="2" name="image3.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457200</xdr:colOff>
      <xdr:row>0</xdr:row>
      <xdr:rowOff>0</xdr:rowOff>
    </xdr:from>
    <xdr:ext cx="685800" cy="647700"/>
    <xdr:pic>
      <xdr:nvPicPr>
        <xdr:cNvPr id="3" name="image4.jpg" title="Imagen">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933450</xdr:colOff>
      <xdr:row>16</xdr:row>
      <xdr:rowOff>971550</xdr:rowOff>
    </xdr:from>
    <xdr:ext cx="247650" cy="323850"/>
    <xdr:sp macro="" textlink="">
      <xdr:nvSpPr>
        <xdr:cNvPr id="3" name="Shape 3">
          <a:extLst>
            <a:ext uri="{FF2B5EF4-FFF2-40B4-BE49-F238E27FC236}">
              <a16:creationId xmlns:a16="http://schemas.microsoft.com/office/drawing/2014/main" id="{00000000-0008-0000-07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933450</xdr:colOff>
      <xdr:row>26</xdr:row>
      <xdr:rowOff>971550</xdr:rowOff>
    </xdr:from>
    <xdr:ext cx="247650" cy="323850"/>
    <xdr:sp macro="" textlink="">
      <xdr:nvSpPr>
        <xdr:cNvPr id="2" name="Shape 3">
          <a:extLst>
            <a:ext uri="{FF2B5EF4-FFF2-40B4-BE49-F238E27FC236}">
              <a16:creationId xmlns:a16="http://schemas.microsoft.com/office/drawing/2014/main" id="{00000000-0008-0000-07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561975</xdr:colOff>
      <xdr:row>0</xdr:row>
      <xdr:rowOff>9525</xdr:rowOff>
    </xdr:from>
    <xdr:ext cx="2171700" cy="638175"/>
    <xdr:pic>
      <xdr:nvPicPr>
        <xdr:cNvPr id="4" name="image3.png" title="Imagen">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590550</xdr:colOff>
      <xdr:row>0</xdr:row>
      <xdr:rowOff>0</xdr:rowOff>
    </xdr:from>
    <xdr:ext cx="685800" cy="647700"/>
    <xdr:pic>
      <xdr:nvPicPr>
        <xdr:cNvPr id="5" name="image4.jpg" title="Imagen">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7</xdr:col>
      <xdr:colOff>457200</xdr:colOff>
      <xdr:row>0</xdr:row>
      <xdr:rowOff>0</xdr:rowOff>
    </xdr:from>
    <xdr:ext cx="685800" cy="647700"/>
    <xdr:pic>
      <xdr:nvPicPr>
        <xdr:cNvPr id="2" name="image4.jp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76200</xdr:colOff>
      <xdr:row>0</xdr:row>
      <xdr:rowOff>19050</xdr:rowOff>
    </xdr:from>
    <xdr:ext cx="2171700" cy="638175"/>
    <xdr:pic>
      <xdr:nvPicPr>
        <xdr:cNvPr id="3" name="image3.png" title="Imagen">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933450</xdr:colOff>
      <xdr:row>16</xdr:row>
      <xdr:rowOff>971550</xdr:rowOff>
    </xdr:from>
    <xdr:ext cx="247650" cy="323850"/>
    <xdr:sp macro="" textlink="">
      <xdr:nvSpPr>
        <xdr:cNvPr id="3" name="Shape 3">
          <a:extLst>
            <a:ext uri="{FF2B5EF4-FFF2-40B4-BE49-F238E27FC236}">
              <a16:creationId xmlns:a16="http://schemas.microsoft.com/office/drawing/2014/main" id="{00000000-0008-0000-09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933450</xdr:colOff>
      <xdr:row>26</xdr:row>
      <xdr:rowOff>971550</xdr:rowOff>
    </xdr:from>
    <xdr:ext cx="247650" cy="323850"/>
    <xdr:sp macro="" textlink="">
      <xdr:nvSpPr>
        <xdr:cNvPr id="2" name="Shape 3">
          <a:extLst>
            <a:ext uri="{FF2B5EF4-FFF2-40B4-BE49-F238E27FC236}">
              <a16:creationId xmlns:a16="http://schemas.microsoft.com/office/drawing/2014/main" id="{00000000-0008-0000-09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457200</xdr:colOff>
      <xdr:row>0</xdr:row>
      <xdr:rowOff>0</xdr:rowOff>
    </xdr:from>
    <xdr:ext cx="685800" cy="647700"/>
    <xdr:pic>
      <xdr:nvPicPr>
        <xdr:cNvPr id="4" name="image4.jp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542925</xdr:colOff>
      <xdr:row>0</xdr:row>
      <xdr:rowOff>9525</xdr:rowOff>
    </xdr:from>
    <xdr:ext cx="2171700" cy="638175"/>
    <xdr:pic>
      <xdr:nvPicPr>
        <xdr:cNvPr id="5" name="image3.png" title="Imagen">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123825</xdr:colOff>
      <xdr:row>0</xdr:row>
      <xdr:rowOff>19050</xdr:rowOff>
    </xdr:from>
    <xdr:ext cx="2171700" cy="638175"/>
    <xdr:pic>
      <xdr:nvPicPr>
        <xdr:cNvPr id="2" name="image3.pn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457200</xdr:colOff>
      <xdr:row>0</xdr:row>
      <xdr:rowOff>0</xdr:rowOff>
    </xdr:from>
    <xdr:ext cx="685800" cy="647700"/>
    <xdr:pic>
      <xdr:nvPicPr>
        <xdr:cNvPr id="3" name="image4.jpg" title="Imagen">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933450</xdr:colOff>
      <xdr:row>16</xdr:row>
      <xdr:rowOff>971550</xdr:rowOff>
    </xdr:from>
    <xdr:ext cx="247650" cy="323850"/>
    <xdr:sp macro="" textlink="">
      <xdr:nvSpPr>
        <xdr:cNvPr id="3" name="Shape 3">
          <a:extLst>
            <a:ext uri="{FF2B5EF4-FFF2-40B4-BE49-F238E27FC236}">
              <a16:creationId xmlns:a16="http://schemas.microsoft.com/office/drawing/2014/main" id="{00000000-0008-0000-0B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933450</xdr:colOff>
      <xdr:row>26</xdr:row>
      <xdr:rowOff>971550</xdr:rowOff>
    </xdr:from>
    <xdr:ext cx="247650" cy="323850"/>
    <xdr:sp macro="" textlink="">
      <xdr:nvSpPr>
        <xdr:cNvPr id="2" name="Shape 3">
          <a:extLst>
            <a:ext uri="{FF2B5EF4-FFF2-40B4-BE49-F238E27FC236}">
              <a16:creationId xmlns:a16="http://schemas.microsoft.com/office/drawing/2014/main" id="{00000000-0008-0000-0B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552450</xdr:colOff>
      <xdr:row>0</xdr:row>
      <xdr:rowOff>9525</xdr:rowOff>
    </xdr:from>
    <xdr:ext cx="2171700" cy="638175"/>
    <xdr:pic>
      <xdr:nvPicPr>
        <xdr:cNvPr id="4" name="image3.png" title="Imagen">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457200</xdr:colOff>
      <xdr:row>0</xdr:row>
      <xdr:rowOff>0</xdr:rowOff>
    </xdr:from>
    <xdr:ext cx="685800" cy="647700"/>
    <xdr:pic>
      <xdr:nvPicPr>
        <xdr:cNvPr id="5" name="image4.jp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7</xdr:col>
      <xdr:colOff>457200</xdr:colOff>
      <xdr:row>0</xdr:row>
      <xdr:rowOff>19050</xdr:rowOff>
    </xdr:from>
    <xdr:ext cx="685800" cy="647700"/>
    <xdr:pic>
      <xdr:nvPicPr>
        <xdr:cNvPr id="2" name="image4.jp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123825</xdr:colOff>
      <xdr:row>0</xdr:row>
      <xdr:rowOff>19050</xdr:rowOff>
    </xdr:from>
    <xdr:ext cx="2171700" cy="638175"/>
    <xdr:pic>
      <xdr:nvPicPr>
        <xdr:cNvPr id="3" name="image3.png" title="Imagen">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933450</xdr:colOff>
      <xdr:row>26</xdr:row>
      <xdr:rowOff>971550</xdr:rowOff>
    </xdr:from>
    <xdr:ext cx="247650" cy="323850"/>
    <xdr:sp macro="" textlink="">
      <xdr:nvSpPr>
        <xdr:cNvPr id="3" name="Shape 3">
          <a:extLst>
            <a:ext uri="{FF2B5EF4-FFF2-40B4-BE49-F238E27FC236}">
              <a16:creationId xmlns:a16="http://schemas.microsoft.com/office/drawing/2014/main" id="{00000000-0008-0000-0D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552450</xdr:colOff>
      <xdr:row>0</xdr:row>
      <xdr:rowOff>9525</xdr:rowOff>
    </xdr:from>
    <xdr:ext cx="2171700" cy="638175"/>
    <xdr:pic>
      <xdr:nvPicPr>
        <xdr:cNvPr id="2" name="image3.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457200</xdr:colOff>
      <xdr:row>0</xdr:row>
      <xdr:rowOff>0</xdr:rowOff>
    </xdr:from>
    <xdr:ext cx="685800" cy="647700"/>
    <xdr:pic>
      <xdr:nvPicPr>
        <xdr:cNvPr id="4" name="image4.jpg">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104775</xdr:colOff>
      <xdr:row>0</xdr:row>
      <xdr:rowOff>47625</xdr:rowOff>
    </xdr:from>
    <xdr:ext cx="2171700" cy="638175"/>
    <xdr:pic>
      <xdr:nvPicPr>
        <xdr:cNvPr id="2" name="image3.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457200</xdr:colOff>
      <xdr:row>0</xdr:row>
      <xdr:rowOff>19050</xdr:rowOff>
    </xdr:from>
    <xdr:ext cx="685800" cy="647700"/>
    <xdr:pic>
      <xdr:nvPicPr>
        <xdr:cNvPr id="3" name="image4.jpg" title="Imagen">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933450</xdr:colOff>
      <xdr:row>26</xdr:row>
      <xdr:rowOff>971550</xdr:rowOff>
    </xdr:from>
    <xdr:ext cx="247650" cy="323850"/>
    <xdr:sp macro="" textlink="">
      <xdr:nvSpPr>
        <xdr:cNvPr id="3" name="Shape 3">
          <a:extLst>
            <a:ext uri="{FF2B5EF4-FFF2-40B4-BE49-F238E27FC236}">
              <a16:creationId xmlns:a16="http://schemas.microsoft.com/office/drawing/2014/main" id="{00000000-0008-0000-0F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552450</xdr:colOff>
      <xdr:row>0</xdr:row>
      <xdr:rowOff>9525</xdr:rowOff>
    </xdr:from>
    <xdr:ext cx="2171700" cy="638175"/>
    <xdr:pic>
      <xdr:nvPicPr>
        <xdr:cNvPr id="2" name="image3.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457200</xdr:colOff>
      <xdr:row>0</xdr:row>
      <xdr:rowOff>0</xdr:rowOff>
    </xdr:from>
    <xdr:ext cx="685800" cy="647700"/>
    <xdr:pic>
      <xdr:nvPicPr>
        <xdr:cNvPr id="4" name="image4.jpg">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38100</xdr:colOff>
      <xdr:row>0</xdr:row>
      <xdr:rowOff>28575</xdr:rowOff>
    </xdr:from>
    <xdr:ext cx="2171700" cy="638175"/>
    <xdr:pic>
      <xdr:nvPicPr>
        <xdr:cNvPr id="2" name="image3.png" title="Imagen">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466725</xdr:colOff>
      <xdr:row>0</xdr:row>
      <xdr:rowOff>28575</xdr:rowOff>
    </xdr:from>
    <xdr:ext cx="685800" cy="647700"/>
    <xdr:pic>
      <xdr:nvPicPr>
        <xdr:cNvPr id="3" name="image4.jpg" title="Imagen">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219075</xdr:colOff>
      <xdr:row>0</xdr:row>
      <xdr:rowOff>209550</xdr:rowOff>
    </xdr:from>
    <xdr:ext cx="1123950" cy="361950"/>
    <xdr:pic>
      <xdr:nvPicPr>
        <xdr:cNvPr id="2" name="image3.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504825</xdr:colOff>
      <xdr:row>0</xdr:row>
      <xdr:rowOff>219075</xdr:rowOff>
    </xdr:from>
    <xdr:ext cx="752475" cy="466725"/>
    <xdr:pic>
      <xdr:nvPicPr>
        <xdr:cNvPr id="3" name="image4.jpg">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S1000"/>
  <sheetViews>
    <sheetView showGridLines="0" workbookViewId="0">
      <selection sqref="A1:C3"/>
    </sheetView>
  </sheetViews>
  <sheetFormatPr baseColWidth="10" defaultColWidth="12.5703125" defaultRowHeight="15" customHeight="1" x14ac:dyDescent="0.2"/>
  <cols>
    <col min="1" max="1" width="18" customWidth="1"/>
    <col min="2" max="2" width="10.7109375" customWidth="1"/>
    <col min="3" max="3" width="6.42578125" customWidth="1"/>
    <col min="4" max="4" width="28.28515625" customWidth="1"/>
    <col min="5" max="5" width="10.7109375" customWidth="1"/>
    <col min="6" max="6" width="6.42578125" customWidth="1"/>
    <col min="7" max="7" width="28.28515625" customWidth="1"/>
    <col min="8" max="8" width="10.7109375" customWidth="1"/>
    <col min="9" max="9" width="6.42578125" customWidth="1"/>
    <col min="10" max="10" width="28.28515625" customWidth="1"/>
    <col min="11" max="11" width="13" customWidth="1"/>
    <col min="12" max="12" width="6.7109375" customWidth="1"/>
    <col min="13" max="13" width="28.28515625" customWidth="1"/>
    <col min="14" max="14" width="10.7109375" customWidth="1"/>
    <col min="15" max="15" width="6.42578125" customWidth="1"/>
    <col min="16" max="16" width="28.28515625" customWidth="1"/>
    <col min="17" max="17" width="10.7109375" customWidth="1"/>
    <col min="18" max="18" width="6.42578125" customWidth="1"/>
    <col min="19" max="19" width="28.28515625" customWidth="1"/>
  </cols>
  <sheetData>
    <row r="1" spans="1:19" x14ac:dyDescent="0.2">
      <c r="A1" s="110"/>
      <c r="B1" s="111"/>
      <c r="C1" s="111"/>
      <c r="D1" s="116" t="s">
        <v>1</v>
      </c>
      <c r="E1" s="91"/>
      <c r="F1" s="91"/>
      <c r="G1" s="91"/>
      <c r="H1" s="91"/>
      <c r="I1" s="91"/>
      <c r="J1" s="91"/>
      <c r="K1" s="91"/>
      <c r="L1" s="91"/>
      <c r="M1" s="91"/>
      <c r="N1" s="91"/>
      <c r="O1" s="91"/>
      <c r="P1" s="91"/>
      <c r="Q1" s="91"/>
      <c r="R1" s="91"/>
      <c r="S1" s="92"/>
    </row>
    <row r="2" spans="1:19" x14ac:dyDescent="0.2">
      <c r="A2" s="112"/>
      <c r="B2" s="113"/>
      <c r="C2" s="113"/>
      <c r="D2" s="117" t="s">
        <v>0</v>
      </c>
      <c r="E2" s="91"/>
      <c r="F2" s="91"/>
      <c r="G2" s="91"/>
      <c r="H2" s="91"/>
      <c r="I2" s="91"/>
      <c r="J2" s="91"/>
      <c r="K2" s="91"/>
      <c r="L2" s="91"/>
      <c r="M2" s="91"/>
      <c r="N2" s="91"/>
      <c r="O2" s="91"/>
      <c r="P2" s="91"/>
      <c r="Q2" s="91"/>
      <c r="R2" s="91"/>
      <c r="S2" s="92"/>
    </row>
    <row r="3" spans="1:19" x14ac:dyDescent="0.2">
      <c r="A3" s="114"/>
      <c r="B3" s="115"/>
      <c r="C3" s="115"/>
      <c r="D3" s="118" t="s">
        <v>5</v>
      </c>
      <c r="E3" s="91"/>
      <c r="F3" s="91"/>
      <c r="G3" s="91"/>
      <c r="H3" s="91"/>
      <c r="I3" s="91"/>
      <c r="J3" s="92"/>
      <c r="K3" s="118" t="s">
        <v>6</v>
      </c>
      <c r="L3" s="92"/>
      <c r="M3" s="5" t="s">
        <v>8</v>
      </c>
      <c r="N3" s="119"/>
      <c r="O3" s="91"/>
      <c r="P3" s="91"/>
      <c r="Q3" s="91"/>
      <c r="R3" s="91"/>
      <c r="S3" s="92"/>
    </row>
    <row r="4" spans="1:19" x14ac:dyDescent="0.2">
      <c r="A4" s="121"/>
      <c r="B4" s="113"/>
      <c r="C4" s="113"/>
      <c r="D4" s="113"/>
      <c r="E4" s="113"/>
      <c r="F4" s="113"/>
      <c r="G4" s="113"/>
      <c r="H4" s="113"/>
      <c r="I4" s="113"/>
      <c r="J4" s="113"/>
      <c r="K4" s="113"/>
      <c r="L4" s="113"/>
      <c r="M4" s="113"/>
      <c r="N4" s="113"/>
      <c r="O4" s="113"/>
      <c r="P4" s="113"/>
      <c r="Q4" s="113"/>
      <c r="R4" s="113"/>
      <c r="S4" s="113"/>
    </row>
    <row r="5" spans="1:19" x14ac:dyDescent="0.2">
      <c r="A5" s="8" t="s">
        <v>10</v>
      </c>
      <c r="B5" s="126" t="s">
        <v>11</v>
      </c>
      <c r="C5" s="91"/>
      <c r="D5" s="91"/>
      <c r="E5" s="91"/>
      <c r="F5" s="91"/>
      <c r="G5" s="91"/>
      <c r="H5" s="91"/>
      <c r="I5" s="91"/>
      <c r="J5" s="91"/>
      <c r="K5" s="91"/>
      <c r="L5" s="91"/>
      <c r="M5" s="91"/>
      <c r="N5" s="91"/>
      <c r="O5" s="91"/>
      <c r="P5" s="91"/>
      <c r="Q5" s="91"/>
      <c r="R5" s="91"/>
      <c r="S5" s="92"/>
    </row>
    <row r="6" spans="1:19" x14ac:dyDescent="0.2">
      <c r="A6" s="8" t="s">
        <v>13</v>
      </c>
      <c r="B6" s="126" t="s">
        <v>15</v>
      </c>
      <c r="C6" s="91"/>
      <c r="D6" s="91"/>
      <c r="E6" s="91"/>
      <c r="F6" s="91"/>
      <c r="G6" s="91"/>
      <c r="H6" s="91"/>
      <c r="I6" s="91"/>
      <c r="J6" s="91"/>
      <c r="K6" s="91"/>
      <c r="L6" s="91"/>
      <c r="M6" s="91"/>
      <c r="N6" s="91"/>
      <c r="O6" s="91"/>
      <c r="P6" s="91"/>
      <c r="Q6" s="91"/>
      <c r="R6" s="91"/>
      <c r="S6" s="92"/>
    </row>
    <row r="7" spans="1:19" x14ac:dyDescent="0.2">
      <c r="A7" s="13" t="s">
        <v>16</v>
      </c>
      <c r="B7" s="126" t="s">
        <v>17</v>
      </c>
      <c r="C7" s="91"/>
      <c r="D7" s="91"/>
      <c r="E7" s="91"/>
      <c r="F7" s="91"/>
      <c r="G7" s="91"/>
      <c r="H7" s="91"/>
      <c r="I7" s="91"/>
      <c r="J7" s="91"/>
      <c r="K7" s="91"/>
      <c r="L7" s="91"/>
      <c r="M7" s="91"/>
      <c r="N7" s="91"/>
      <c r="O7" s="91"/>
      <c r="P7" s="91"/>
      <c r="Q7" s="91"/>
      <c r="R7" s="91"/>
      <c r="S7" s="92"/>
    </row>
    <row r="8" spans="1:19" x14ac:dyDescent="0.2">
      <c r="A8" s="13" t="s">
        <v>22</v>
      </c>
      <c r="B8" s="126" t="s">
        <v>24</v>
      </c>
      <c r="C8" s="91"/>
      <c r="D8" s="91"/>
      <c r="E8" s="91"/>
      <c r="F8" s="91"/>
      <c r="G8" s="91"/>
      <c r="H8" s="91"/>
      <c r="I8" s="91"/>
      <c r="J8" s="91"/>
      <c r="K8" s="91"/>
      <c r="L8" s="91"/>
      <c r="M8" s="91"/>
      <c r="N8" s="91"/>
      <c r="O8" s="91"/>
      <c r="P8" s="91"/>
      <c r="Q8" s="91"/>
      <c r="R8" s="91"/>
      <c r="S8" s="92"/>
    </row>
    <row r="9" spans="1:19" x14ac:dyDescent="0.2">
      <c r="A9" s="13" t="s">
        <v>26</v>
      </c>
      <c r="B9" s="126" t="s">
        <v>28</v>
      </c>
      <c r="C9" s="91"/>
      <c r="D9" s="91"/>
      <c r="E9" s="91"/>
      <c r="F9" s="91"/>
      <c r="G9" s="91"/>
      <c r="H9" s="91"/>
      <c r="I9" s="91"/>
      <c r="J9" s="91"/>
      <c r="K9" s="91"/>
      <c r="L9" s="91"/>
      <c r="M9" s="91"/>
      <c r="N9" s="91"/>
      <c r="O9" s="91"/>
      <c r="P9" s="91"/>
      <c r="Q9" s="91"/>
      <c r="R9" s="91"/>
      <c r="S9" s="92"/>
    </row>
    <row r="10" spans="1:19" x14ac:dyDescent="0.2">
      <c r="A10" s="19" t="s">
        <v>12</v>
      </c>
      <c r="B10" s="127" t="str">
        <f>+'MODULO 1 '!B5:F5</f>
        <v>MÓDULO 1. FUNDAMENTOS DE BIG DATA E INTELIGENCIA ARTIFICIAL</v>
      </c>
      <c r="C10" s="123"/>
      <c r="D10" s="124"/>
      <c r="E10" s="127" t="str">
        <f>+'MODULO 2 '!B5</f>
        <v>MÓDULO 2. PROGRAMACIÓN Y GESTIÓN DE DATOS MASIVOS</v>
      </c>
      <c r="F10" s="123"/>
      <c r="G10" s="124"/>
      <c r="H10" s="122" t="str">
        <f>+'MODULO 3'!B5</f>
        <v>MÓDULO 3. MACHINE LEARNING APLICADO</v>
      </c>
      <c r="I10" s="123"/>
      <c r="J10" s="124"/>
      <c r="K10" s="122" t="str">
        <f>+'MODULO 4'!B5</f>
        <v>MÓDULO 4. IA PARA AUTOMATIZACIÓN Y RECOLECCIÓN DE DATOS</v>
      </c>
      <c r="L10" s="123"/>
      <c r="M10" s="124"/>
      <c r="N10" s="122" t="str">
        <f>+'MODULO 5'!B5</f>
        <v>MÓDULO 5. ECONOMETRÍA Y FORECASTING CON IA</v>
      </c>
      <c r="O10" s="123"/>
      <c r="P10" s="125"/>
      <c r="Q10" s="122" t="str">
        <f>+'MODULO 6'!B5</f>
        <v>MÓDULO 6. MODELOS AVANZADOS DE IA Y APLICACIONES ECONÓMICAS</v>
      </c>
      <c r="R10" s="123"/>
      <c r="S10" s="124"/>
    </row>
    <row r="11" spans="1:19" x14ac:dyDescent="0.2">
      <c r="A11" s="19" t="s">
        <v>9</v>
      </c>
      <c r="B11" s="120" t="str">
        <f>+'MODULO 1 '!H5</f>
        <v>25 horas
(20 horas sincrónicas y 5 horas asincrónicas)</v>
      </c>
      <c r="C11" s="91"/>
      <c r="D11" s="92"/>
      <c r="E11" s="120" t="str">
        <f>+'MODULO 2 '!H5</f>
        <v>25 horas
(20 horas sincrónicas y 5 horas asincrónicas)</v>
      </c>
      <c r="F11" s="91"/>
      <c r="G11" s="92"/>
      <c r="H11" s="120" t="str">
        <f>+'MODULO 3'!H5</f>
        <v>25 horas
(20 horas sincrónicas y 5 horas asincrónicas)</v>
      </c>
      <c r="I11" s="91"/>
      <c r="J11" s="92"/>
      <c r="K11" s="120" t="str">
        <f>+'MODULO 4'!H5</f>
        <v>25 horas
(20 horas sincrónicas y 5 horas asincrónicas)</v>
      </c>
      <c r="L11" s="91"/>
      <c r="M11" s="92"/>
      <c r="N11" s="120" t="str">
        <f>+'MODULO 5'!H5</f>
        <v>25 horas
(20 horas sincrónicas y 5 horas asincrónicas)</v>
      </c>
      <c r="O11" s="91"/>
      <c r="P11" s="92"/>
      <c r="Q11" s="128" t="str">
        <f>+'MODULO 6'!H5</f>
        <v>25 horas
(20 horas sincrónicas y 5 horas asincrónicas)</v>
      </c>
      <c r="R11" s="123"/>
      <c r="S11" s="124"/>
    </row>
    <row r="12" spans="1:19" x14ac:dyDescent="0.2">
      <c r="A12" s="25" t="s">
        <v>21</v>
      </c>
      <c r="B12" s="90" t="str">
        <f>+'MODULO 1 '!B6:H6</f>
        <v>Este módulo introduce los conceptos fundamentales relacionados con Big Data, Inteligencia Artificial y Machine Learning, proporcionando una visión integral sobre el impacto de estas tecnologías en los procesos de análisis económico y toma de decisiones. Los participantes comprenderán los principales paradigmas de aprendizaje automático y su aplicación en escenarios institucionales.
El módulo permitirá desarrollar capacidades para interpretar el ciclo de vida de proyectos de analítica avanzada y comprender el valor estratégico de los datos en organizaciones modernas. Los participantes adquirirán conocimientos sobre tipos de aprendizaje supervisado y no supervisado, ecosistemas de IA y aplicaciones en economía. Al finalizar, el estudiante será capaz de identificar oportunidades de implementación de IA y Big Data en contextos institucionales y económicos.</v>
      </c>
      <c r="C12" s="91"/>
      <c r="D12" s="92"/>
      <c r="E12" s="93" t="str">
        <f>+'MODULO 2 '!B6</f>
        <v>Este módulo desarrolla competencias relacionadas con programación orientada al análisis de datos, gestión de bases de datos masivas y procesamiento de información estructurada y no estructurada. Los participantes aprenderán técnicas de limpieza, transformación y manipulación de datos utilizando R y Python.
La propuesta de valor del módulo radica en fortalecer capacidades técnicas para automatizar procesos de análisis y preparación de datos, optimizando la calidad de la información utilizada en estudios económicos y estadísticos. Al finalizar, los estudiantes estarán en capacidad de desarrollar flujos de procesamiento de datos y construir estructuras de análisis reproducibles.</v>
      </c>
      <c r="F12" s="91"/>
      <c r="G12" s="92"/>
      <c r="H12" s="93" t="str">
        <f>+'MODULO 3'!B6</f>
        <v>Este módulo aborda las técnicas de machine learning aplicadas al análisis predictivo, clasificación y segmentación de datos económicos. Los participantes desarrollarán modelos supervisados y no supervisados utilizando herramientas modernas de ciencia de datos.
El módulo permitirá fortalecer competencias analíticas para generar modelos predictivos orientados a forecasting económico y toma de decisiones. Al finalizar, los participantes podrán construir modelos de regresión, clasificación y clustering aplicados a problemas institucionales y económicos.</v>
      </c>
      <c r="I12" s="91"/>
      <c r="J12" s="92"/>
      <c r="K12" s="93" t="str">
        <f>+'MODULO 4'!B6</f>
        <v>Este módulo desarrolla competencias para automatizar procesos de captura, integración y procesamiento de información mediante herramientas de inteligencia artificial, APIs y web scraping. Los participantes aprenderán a construir flujos automatizados para la obtención y procesamiento de datos económicos.
El módulo permitirá optimizar procesos institucionales relacionados con actualización de bases de datos, monitoreo de indicadores y generación automática de reportes. Al finalizar, los estudiantes estarán en capacidad de implementar soluciones automatizadas para recolección y análisis de información.</v>
      </c>
      <c r="L12" s="91"/>
      <c r="M12" s="92"/>
      <c r="N12" s="93" t="str">
        <f>+'MODULO 5'!B6</f>
        <v>Este módulo integra técnicas econométricas tradicionales con modelos de machine learning orientados al forecasting económico y análisis predictivo. Los participantes aprenderán a construir modelos híbridos para mejorar precisión en estimaciones macroeconómicas.
La propuesta de valor del módulo radica en fortalecer competencias para analizar series de tiempo, realizar proyecciones económicas y comparar metodologías predictivas. Al finalizar, los estudiantes estarán en capacidad de construir modelos econométricos y de IA aplicados a variables económicas reales.</v>
      </c>
      <c r="O12" s="91"/>
      <c r="P12" s="92"/>
      <c r="Q12" s="93" t="str">
        <f>+'MODULO 6'!B6</f>
        <v>Este módulo aborda técnicas avanzadas de inteligencia artificial, incluyendo modelos bayesianos, algoritmos no paramétricos e introducción a deep learning aplicados al análisis económico y predictivo. Los participantes integrarán conocimientos adquiridos durante el diplomado para resolver problemas complejos mediante analítica avanzada.
El módulo permitirá fortalecer capacidades para implementar soluciones innovadoras orientadas a la toma de decisiones estratégicas y análisis económico avanzado. Al finalizar, los estudiantes estarán preparados para aplicar técnicas avanzadas de IA en escenarios institucionales y proyectos de innovación pública.</v>
      </c>
      <c r="R12" s="91"/>
      <c r="S12" s="92"/>
    </row>
    <row r="13" spans="1:19" x14ac:dyDescent="0.2">
      <c r="A13" s="25" t="s">
        <v>23</v>
      </c>
      <c r="B13" s="90" t="str">
        <f>+'MODULO 1 '!B11:H11</f>
        <v>Comprender los fundamentos de Big Data e Inteligencia Artificial mediante conceptos y herramientas tecnológicas en contextos de análisis económico, para identificar aplicaciones orientadas a la toma de decisiones basada en datos.</v>
      </c>
      <c r="C13" s="91"/>
      <c r="D13" s="92"/>
      <c r="E13" s="90" t="str">
        <f>+'MODULO 2 '!B11</f>
        <v>Gestionar datos masivos mediante herramientas de programación y procesamiento en contextos analíticos institucionales, para optimizar la calidad y disponibilidad de información económica.</v>
      </c>
      <c r="F13" s="91"/>
      <c r="G13" s="92"/>
      <c r="H13" s="93" t="str">
        <f>+'MODULO 3'!B11</f>
        <v>Aplicar modelos de machine learning mediante técnicas predictivas y herramientas analíticas en escenarios económicos, para generar pronósticos y clasificaciones basadas en datos.</v>
      </c>
      <c r="I13" s="91"/>
      <c r="J13" s="92"/>
      <c r="K13" s="93" t="str">
        <f>+'MODULO 4'!B11</f>
        <v>Automatizar procesos de recolección y procesamiento de datos mediante herramientas de IA y programación en contextos analíticos institucionales, para optimizar generación de información económica.</v>
      </c>
      <c r="L13" s="91"/>
      <c r="M13" s="92"/>
      <c r="N13" s="93" t="str">
        <f>+'MODULO 5'!B11</f>
        <v>Construir modelos econométricos y de forecasting mediante técnicas estadísticas y machine learning en contextos económicos, para mejorar predicción y análisis de variables macroeconómicas.</v>
      </c>
      <c r="O13" s="91"/>
      <c r="P13" s="92"/>
      <c r="Q13" s="93" t="str">
        <f>+'MODULO 6'!B11</f>
        <v>Aplicar modelos avanzados de inteligencia artificial mediante técnicas analíticas y herramientas predictivas en escenarios económicos, para generar soluciones innovadoras orientadas a la toma de decisiones.</v>
      </c>
      <c r="R13" s="91"/>
      <c r="S13" s="92"/>
    </row>
    <row r="14" spans="1:19" x14ac:dyDescent="0.2">
      <c r="A14" s="25" t="s">
        <v>30</v>
      </c>
      <c r="B14" s="90" t="str">
        <f>+'MODULO 1 '!B12:H12</f>
        <v>U1. Identificar conceptos fundamentales de IA mediante análisis de aplicaciones tecnológicas en contextos económicos para comprender su impacto institucional.
U2. Analizar tipos de machine learning mediante modelos supervisados y no supervisados en escenarios analíticos para diferenciar enfoques predictivos.
U3. Reconocer ecosistemas Big Data mediante plataformas y arquitecturas de datos en entornos organizacionales para comprender su funcionamiento.
U4. Relacionar analítica avanzada mediante casos económicos institucionales para identificar oportunidades de innovación.
Aplicar herramientas básicas de IA mediante laboratorios prácticos en análisis económico para interpretar resultados analíticos.</v>
      </c>
      <c r="C14" s="91"/>
      <c r="D14" s="92"/>
      <c r="E14" s="90" t="str">
        <f>+'MODULO 2 '!B12</f>
        <v>U1. Aplicar fundamentos de programación mediante R y Python en escenarios analíticos para automatizar procesos de datos.
U2. Gestionar bases de datos mediante técnicas ETL en entornos institucionales para optimizar calidad de información.
U2. Limpiar y transformar datos mediante librerías analíticas en proyectos económicos para mejorar consistencia de resultados.
U3. Analizar datos estructurados y no estructurados mediante herramientas de procesamiento para generar información útil.
U4. Desarrollar flujos automatizados mediante programación aplicada en casos institucionales para optimizar análisis económico.</v>
      </c>
      <c r="F14" s="91"/>
      <c r="G14" s="92"/>
      <c r="H14" s="90" t="str">
        <f>+'MODULO 3'!B12</f>
        <v>Construir modelos de regresión mediante algoritmos supervisados en análisis económicos para generar predicciones.
Aplicar técnicas de clasificación mediante machine learning en conjuntos de datos institucionales para identificar patrones.
Implementar modelos de clustering mediante algoritmos no supervisados en análisis de segmentación para interpretar comportamientos.
Evaluar desempeño de modelos mediante métricas analíticas en proyectos predictivos para optimizar resultados.
Desarrollar soluciones predictivas mediante laboratorios aplicados en escenarios económicos para fortalecer toma de decisiones.</v>
      </c>
      <c r="I14" s="91"/>
      <c r="J14" s="92"/>
      <c r="K14" s="90" t="str">
        <f>+'MODULO 4'!B12</f>
        <v>U1. Implementar técnicas de web scraping mediante programación en plataformas web para automatizar captura de información.
U2. Utilizar APIs mediante herramientas tecnológicas en análisis económicos para integrar fuentes de datos.
U3. Automatizar procesos analíticos mediante scripts y flujos de trabajo en escenarios institucionales para optimizar productividad.
U4. Aplicar agentes inteligentes mediante herramientas de IA en procesos de datos para mejorar eficiencia operativa.
U5. Desarrollar soluciones automatizadas mediante casos prácticos institucionales para fortalecer análisis económico.</v>
      </c>
      <c r="L14" s="91"/>
      <c r="M14" s="92"/>
      <c r="N14" s="90" t="str">
        <f>+'MODULO 5'!B12</f>
        <v>U1. Analizar series temporales mediante modelos econométricos en escenarios económicos para generar proyecciones.
U2. Aplicar modelos ARIMA mediante herramientas analíticas en forecasting económico para estimar tendencias.
U3. Integrar machine learning mediante técnicas predictivas en modelos econométricos para optimizar precisión.
U4. Evaluar desempeño predictivo mediante métricas analíticas en proyecciones económicas para validar resultados.
U5. Desarrollar modelos híbridos mediante casos institucionales para fortalecer análisis macroeconómico.</v>
      </c>
      <c r="O14" s="91"/>
      <c r="P14" s="92"/>
      <c r="Q14" s="90" t="str">
        <f>+'MODULO 6'!B12</f>
        <v>U1. Implementar modelos no paramétricos mediante algoritmos avanzados en análisis económicos para optimizar predicciones.
U2. Aplicar técnicas bayesianas mediante modelos probabilísticos en escenarios institucionales para fortalecer análisis de incertidumbre.
U3. Comprender fundamentos de deep learning mediante redes neuronales en problemas predictivos para identificar aplicaciones avanzadas.
U4. Analizar aplicaciones económicas mediante IA avanzada en contextos macroeconómicos para generar valor institucional.
Desarrollar proyectos integradores mediante técnicas avanzadas en escenarios reales para fortalecer innovación analítica.</v>
      </c>
      <c r="R14" s="91"/>
      <c r="S14" s="92"/>
    </row>
    <row r="15" spans="1:19" x14ac:dyDescent="0.2">
      <c r="A15" s="98" t="s">
        <v>133</v>
      </c>
      <c r="B15" s="94" t="str">
        <f>+'MODULO 1 '!B13</f>
        <v>Unidad 1. Introducción a Big Data (5 horas)</v>
      </c>
      <c r="C15" s="28" t="s">
        <v>47</v>
      </c>
      <c r="D15" s="29" t="str">
        <f>+'MODULO 1 '!D13:H13</f>
        <v>Conceptos de Big Data.</v>
      </c>
      <c r="E15" s="94" t="str">
        <f>+'MODULO 2 '!B13</f>
        <v>Unidad 1. Programación en Python y R (5 horas)</v>
      </c>
      <c r="F15" s="28" t="s">
        <v>47</v>
      </c>
      <c r="G15" s="29" t="str">
        <f>+'MODULO 2 '!D13</f>
        <v>Sintaxis básica.</v>
      </c>
      <c r="H15" s="94" t="str">
        <f>+'MODULO 3'!B13</f>
        <v>Unidad 1. Regresión y Predicción (5 horas)</v>
      </c>
      <c r="I15" s="28" t="s">
        <v>47</v>
      </c>
      <c r="J15" s="29" t="str">
        <f>+'MODULO 3'!D13</f>
        <v>Regresión lineal.</v>
      </c>
      <c r="K15" s="129" t="str">
        <f>+'MODULO 4'!B13</f>
        <v>Unidad 1. Web Scraping (5 horas)</v>
      </c>
      <c r="L15" s="31" t="s">
        <v>47</v>
      </c>
      <c r="M15" s="29" t="str">
        <f>+'MODULO 4'!D13</f>
        <v>Introducción al scraping.</v>
      </c>
      <c r="N15" s="94" t="str">
        <f>+'MODULO 5'!B13</f>
        <v>Unidad 1. Series de Tiempo (5 horas)</v>
      </c>
      <c r="O15" s="33" t="s">
        <v>47</v>
      </c>
      <c r="P15" s="34" t="str">
        <f>+'MODULO 5'!D13</f>
        <v>Componentes de series.</v>
      </c>
      <c r="Q15" s="94" t="str">
        <f>+'MODULO 6'!B13</f>
        <v>Unidad 1. Modelos No Paramétricos (5 horas)</v>
      </c>
      <c r="R15" s="33" t="s">
        <v>47</v>
      </c>
      <c r="S15" s="34" t="str">
        <f>+'MODULO 6'!D13</f>
        <v>KNN.</v>
      </c>
    </row>
    <row r="16" spans="1:19" x14ac:dyDescent="0.2">
      <c r="A16" s="95"/>
      <c r="B16" s="95"/>
      <c r="C16" s="28" t="s">
        <v>49</v>
      </c>
      <c r="D16" s="29" t="str">
        <f>+'MODULO 1 '!D14:H14</f>
        <v>Características de los datos masivos.</v>
      </c>
      <c r="E16" s="95"/>
      <c r="F16" s="28" t="s">
        <v>49</v>
      </c>
      <c r="G16" s="29" t="str">
        <f>+'MODULO 2 '!D14</f>
        <v>Variables y estructuras.</v>
      </c>
      <c r="H16" s="95"/>
      <c r="I16" s="28" t="s">
        <v>49</v>
      </c>
      <c r="J16" s="29" t="str">
        <f>+'MODULO 3'!D14</f>
        <v>Regresión múltiple.</v>
      </c>
      <c r="K16" s="95"/>
      <c r="L16" s="31" t="s">
        <v>49</v>
      </c>
      <c r="M16" s="29" t="str">
        <f>+'MODULO 4'!D14</f>
        <v>BeautifulSoup.</v>
      </c>
      <c r="N16" s="95"/>
      <c r="O16" s="33" t="s">
        <v>49</v>
      </c>
      <c r="P16" s="34" t="str">
        <f>+'MODULO 5'!D14</f>
        <v>Estacionalidad.</v>
      </c>
      <c r="Q16" s="95"/>
      <c r="R16" s="33" t="s">
        <v>49</v>
      </c>
      <c r="S16" s="34" t="str">
        <f>+'MODULO 6'!D14</f>
        <v>Kernel methods.</v>
      </c>
    </row>
    <row r="17" spans="1:19" x14ac:dyDescent="0.2">
      <c r="A17" s="95"/>
      <c r="B17" s="95"/>
      <c r="C17" s="28" t="s">
        <v>52</v>
      </c>
      <c r="D17" s="38" t="str">
        <f>+'MODULO 1 '!D15:H15</f>
        <v>Ecosistemas de datos.</v>
      </c>
      <c r="E17" s="95"/>
      <c r="F17" s="28" t="s">
        <v>52</v>
      </c>
      <c r="G17" s="29" t="str">
        <f>+'MODULO 2 '!D15</f>
        <v>Funciones.</v>
      </c>
      <c r="H17" s="95"/>
      <c r="I17" s="28" t="s">
        <v>52</v>
      </c>
      <c r="J17" s="29" t="str">
        <f>+'MODULO 3'!D15</f>
        <v>Evaluación predictiva.</v>
      </c>
      <c r="K17" s="95"/>
      <c r="L17" s="31" t="s">
        <v>52</v>
      </c>
      <c r="M17" s="29" t="str">
        <f>+'MODULO 4'!D15</f>
        <v>Selenium.</v>
      </c>
      <c r="N17" s="95"/>
      <c r="O17" s="33" t="s">
        <v>52</v>
      </c>
      <c r="P17" s="34" t="str">
        <f>+'MODULO 5'!D15</f>
        <v>Tendencia.</v>
      </c>
      <c r="Q17" s="95"/>
      <c r="R17" s="33" t="s">
        <v>52</v>
      </c>
      <c r="S17" s="34" t="str">
        <f>+'MODULO 6'!D15</f>
        <v>Árboles avanzados.</v>
      </c>
    </row>
    <row r="18" spans="1:19" x14ac:dyDescent="0.2">
      <c r="A18" s="95"/>
      <c r="B18" s="95"/>
      <c r="C18" s="28" t="s">
        <v>55</v>
      </c>
      <c r="D18" s="38" t="str">
        <f>+'MODULO 1 '!D16:H16</f>
        <v>Transformación digital.</v>
      </c>
      <c r="E18" s="95"/>
      <c r="F18" s="28" t="s">
        <v>55</v>
      </c>
      <c r="G18" s="29" t="str">
        <f>+'MODULO 2 '!D16</f>
        <v>Librerías analíticas.</v>
      </c>
      <c r="H18" s="95"/>
      <c r="I18" s="28" t="s">
        <v>55</v>
      </c>
      <c r="J18" s="29" t="str">
        <f>+'MODULO 3'!D16</f>
        <v>Overfitting.</v>
      </c>
      <c r="K18" s="95"/>
      <c r="L18" s="31" t="s">
        <v>55</v>
      </c>
      <c r="M18" s="29" t="str">
        <f>+'MODULO 4'!D16</f>
        <v>Extracción de tablas.</v>
      </c>
      <c r="N18" s="95"/>
      <c r="O18" s="33" t="s">
        <v>55</v>
      </c>
      <c r="P18" s="34" t="str">
        <f>+'MODULO 5'!D16</f>
        <v>Estacionariedad.</v>
      </c>
      <c r="Q18" s="95"/>
      <c r="R18" s="33" t="s">
        <v>55</v>
      </c>
      <c r="S18" s="34" t="str">
        <f>+'MODULO 6'!D16</f>
        <v>Boosting.</v>
      </c>
    </row>
    <row r="19" spans="1:19" x14ac:dyDescent="0.2">
      <c r="A19" s="95"/>
      <c r="B19" s="96"/>
      <c r="C19" s="28" t="s">
        <v>57</v>
      </c>
      <c r="D19" s="38" t="str">
        <f>+'MODULO 1 '!D17:H17</f>
        <v>Aplicaciones institucionales.</v>
      </c>
      <c r="E19" s="96"/>
      <c r="F19" s="28" t="s">
        <v>57</v>
      </c>
      <c r="G19" s="29" t="str">
        <f>+'MODULO 2 '!D17</f>
        <v>Automatización básica.</v>
      </c>
      <c r="H19" s="97"/>
      <c r="I19" s="28" t="s">
        <v>57</v>
      </c>
      <c r="J19" s="29" t="str">
        <f>+'MODULO 3'!D17</f>
        <v>Validación cruzada.</v>
      </c>
      <c r="K19" s="97"/>
      <c r="L19" s="31" t="s">
        <v>57</v>
      </c>
      <c r="M19" s="29" t="str">
        <f>+'MODULO 4'!D17</f>
        <v>Automatización web.</v>
      </c>
      <c r="N19" s="96"/>
      <c r="O19" s="33" t="s">
        <v>57</v>
      </c>
      <c r="P19" s="34" t="str">
        <f>+'MODULO 5'!D17</f>
        <v>Visualización temporal.</v>
      </c>
      <c r="Q19" s="96"/>
      <c r="R19" s="33" t="s">
        <v>57</v>
      </c>
      <c r="S19" s="34" t="str">
        <f>+'MODULO 6'!D17</f>
        <v>Bagging.</v>
      </c>
    </row>
    <row r="20" spans="1:19" x14ac:dyDescent="0.2">
      <c r="A20" s="95"/>
      <c r="B20" s="94" t="str">
        <f>+'MODULO 1 '!B18</f>
        <v>Unidad 2. Fundamentos de Inteligencia Artificial (5 horas)</v>
      </c>
      <c r="C20" s="28" t="s">
        <v>61</v>
      </c>
      <c r="D20" s="38" t="str">
        <f>+'MODULO 1 '!D18:H18</f>
        <v>Historia y evolución de la IA.</v>
      </c>
      <c r="E20" s="94" t="str">
        <f>+'MODULO 2 '!B18</f>
        <v>Unidad 2. Manipulación de Datos (5 horas)</v>
      </c>
      <c r="F20" s="28" t="s">
        <v>61</v>
      </c>
      <c r="G20" s="29" t="str">
        <f>+'MODULO 2 '!D18</f>
        <v>DataFrames.</v>
      </c>
      <c r="H20" s="94" t="str">
        <f>+'MODULO 3'!B18</f>
        <v>Unidad 2. Clasificación (5 horas)</v>
      </c>
      <c r="I20" s="28" t="s">
        <v>61</v>
      </c>
      <c r="J20" s="29" t="str">
        <f>+'MODULO 3'!D18</f>
        <v>Árboles de decisión.</v>
      </c>
      <c r="K20" s="94" t="str">
        <f>+'MODULO 4'!B18</f>
        <v>Unidad 2. APIs y Datos Abiertos (5 horas)</v>
      </c>
      <c r="L20" s="28" t="s">
        <v>61</v>
      </c>
      <c r="M20" s="29" t="str">
        <f>+'MODULO 4'!D18</f>
        <v>APIs REST.</v>
      </c>
      <c r="N20" s="94" t="str">
        <f>+'MODULO 5'!B18</f>
        <v>Unidad 2. Modelos Econométricos (5 horas)</v>
      </c>
      <c r="O20" s="53" t="s">
        <v>61</v>
      </c>
      <c r="P20" s="34" t="str">
        <f>+'MODULO 5'!D18</f>
        <v>Regresión econométrica.</v>
      </c>
      <c r="Q20" s="94" t="str">
        <f>+'MODULO 6'!B18</f>
        <v>Unidad 2. Modelos Bayesianos (5 horas)</v>
      </c>
      <c r="R20" s="53" t="s">
        <v>61</v>
      </c>
      <c r="S20" s="34" t="str">
        <f>+'MODULO 6'!D18</f>
        <v>Probabilidad bayesiana.</v>
      </c>
    </row>
    <row r="21" spans="1:19" x14ac:dyDescent="0.2">
      <c r="A21" s="95"/>
      <c r="B21" s="95"/>
      <c r="C21" s="28" t="s">
        <v>64</v>
      </c>
      <c r="D21" s="38" t="str">
        <f>+'MODULO 1 '!D19:H19</f>
        <v>Tipos de inteligencia artificial.</v>
      </c>
      <c r="E21" s="95"/>
      <c r="F21" s="28" t="s">
        <v>64</v>
      </c>
      <c r="G21" s="29" t="str">
        <f>+'MODULO 2 '!D19</f>
        <v>Limpieza de datos.</v>
      </c>
      <c r="H21" s="95"/>
      <c r="I21" s="28" t="s">
        <v>64</v>
      </c>
      <c r="J21" s="29" t="str">
        <f>+'MODULO 3'!D19</f>
        <v>Random Forest.</v>
      </c>
      <c r="K21" s="95"/>
      <c r="L21" s="28" t="s">
        <v>64</v>
      </c>
      <c r="M21" s="29" t="str">
        <f>+'MODULO 4'!D19</f>
        <v>Consumo de APIs.</v>
      </c>
      <c r="N21" s="95"/>
      <c r="O21" s="53" t="s">
        <v>64</v>
      </c>
      <c r="P21" s="34" t="str">
        <f>+'MODULO 5'!D19</f>
        <v>Modelos ARIMA.</v>
      </c>
      <c r="Q21" s="95"/>
      <c r="R21" s="53" t="s">
        <v>64</v>
      </c>
      <c r="S21" s="34" t="str">
        <f>+'MODULO 6'!D19</f>
        <v>Inferencia bayesiana.</v>
      </c>
    </row>
    <row r="22" spans="1:19" x14ac:dyDescent="0.2">
      <c r="A22" s="95"/>
      <c r="B22" s="95"/>
      <c r="C22" s="28" t="s">
        <v>66</v>
      </c>
      <c r="D22" s="38" t="str">
        <f>+'MODULO 1 '!D20:H20</f>
        <v>Aprendizaje supervisado.</v>
      </c>
      <c r="E22" s="95"/>
      <c r="F22" s="28" t="s">
        <v>66</v>
      </c>
      <c r="G22" s="29" t="str">
        <f>+'MODULO 2 '!D20</f>
        <v>Transformación de variables.</v>
      </c>
      <c r="H22" s="95"/>
      <c r="I22" s="28" t="s">
        <v>66</v>
      </c>
      <c r="J22" s="29" t="str">
        <f>+'MODULO 3'!D20</f>
        <v>SVM.</v>
      </c>
      <c r="K22" s="95"/>
      <c r="L22" s="28" t="s">
        <v>66</v>
      </c>
      <c r="M22" s="29" t="str">
        <f>+'MODULO 4'!D20</f>
        <v>Datos abiertos.</v>
      </c>
      <c r="N22" s="95"/>
      <c r="O22" s="53" t="s">
        <v>66</v>
      </c>
      <c r="P22" s="34" t="str">
        <f>+'MODULO 5'!D20</f>
        <v>VAR.</v>
      </c>
      <c r="Q22" s="95"/>
      <c r="R22" s="53" t="s">
        <v>66</v>
      </c>
      <c r="S22" s="34" t="str">
        <f>+'MODULO 6'!D20</f>
        <v>Redes bayesianas.</v>
      </c>
    </row>
    <row r="23" spans="1:19" x14ac:dyDescent="0.2">
      <c r="A23" s="95"/>
      <c r="B23" s="95"/>
      <c r="C23" s="28" t="s">
        <v>69</v>
      </c>
      <c r="D23" s="38" t="str">
        <f>+'MODULO 1 '!D21:H21</f>
        <v>Aprendizaje no supervisado.</v>
      </c>
      <c r="E23" s="95"/>
      <c r="F23" s="28" t="s">
        <v>69</v>
      </c>
      <c r="G23" s="29" t="str">
        <f>+'MODULO 2 '!D21</f>
        <v>Validación de datos.</v>
      </c>
      <c r="H23" s="95"/>
      <c r="I23" s="28" t="s">
        <v>69</v>
      </c>
      <c r="J23" s="29" t="str">
        <f>+'MODULO 3'!D21</f>
        <v>KNN.</v>
      </c>
      <c r="K23" s="95"/>
      <c r="L23" s="28" t="s">
        <v>69</v>
      </c>
      <c r="M23" s="29" t="str">
        <f>+'MODULO 4'!D21</f>
        <v>Integración de fuentes.</v>
      </c>
      <c r="N23" s="95"/>
      <c r="O23" s="53" t="s">
        <v>69</v>
      </c>
      <c r="P23" s="34" t="str">
        <f>+'MODULO 5'!D21</f>
        <v>Cointegración.</v>
      </c>
      <c r="Q23" s="95"/>
      <c r="R23" s="53" t="s">
        <v>69</v>
      </c>
      <c r="S23" s="34" t="str">
        <f>+'MODULO 6'!D21</f>
        <v>Modelos probabilísticos.</v>
      </c>
    </row>
    <row r="24" spans="1:19" x14ac:dyDescent="0.2">
      <c r="A24" s="95"/>
      <c r="B24" s="96"/>
      <c r="C24" s="28" t="s">
        <v>72</v>
      </c>
      <c r="D24" s="38" t="str">
        <f>+'MODULO 1 '!D22:H22</f>
        <v>Casos de uso.</v>
      </c>
      <c r="E24" s="96"/>
      <c r="F24" s="28" t="s">
        <v>72</v>
      </c>
      <c r="G24" s="29" t="str">
        <f>+'MODULO 2 '!D22</f>
        <v>Integración de fuentes.</v>
      </c>
      <c r="H24" s="96"/>
      <c r="I24" s="28" t="s">
        <v>72</v>
      </c>
      <c r="J24" s="29" t="str">
        <f>+'MODULO 3'!D22</f>
        <v>Métricas de clasificación.</v>
      </c>
      <c r="K24" s="97"/>
      <c r="L24" s="28" t="s">
        <v>72</v>
      </c>
      <c r="M24" s="29" t="str">
        <f>+'MODULO 4'!D22</f>
        <v>Automatización de consultas.</v>
      </c>
      <c r="N24" s="96"/>
      <c r="O24" s="53" t="s">
        <v>72</v>
      </c>
      <c r="P24" s="34" t="str">
        <f>+'MODULO 5'!D22</f>
        <v>Evaluación estadística.</v>
      </c>
      <c r="Q24" s="96"/>
      <c r="R24" s="53" t="s">
        <v>72</v>
      </c>
      <c r="S24" s="34" t="str">
        <f>+'MODULO 6'!D22</f>
        <v>Aplicaciones económicas.</v>
      </c>
    </row>
    <row r="25" spans="1:19" x14ac:dyDescent="0.2">
      <c r="A25" s="95"/>
      <c r="B25" s="94" t="str">
        <f>+'MODULO 1 '!B23</f>
        <v>Unidad 3. Machine Learning y Analítica (5 horas)</v>
      </c>
      <c r="C25" s="28" t="s">
        <v>76</v>
      </c>
      <c r="D25" s="38" t="str">
        <f>+'MODULO 1 '!D23:H23</f>
        <v>Modelos predictivos.</v>
      </c>
      <c r="E25" s="94" t="str">
        <f>+'MODULO 2 '!B23</f>
        <v>Unidad 3. Bases de Datos y ETL (5 horas)</v>
      </c>
      <c r="F25" s="28" t="s">
        <v>76</v>
      </c>
      <c r="G25" s="29" t="str">
        <f>+'MODULO 2 '!D23</f>
        <v>SQL básico.</v>
      </c>
      <c r="H25" s="94" t="str">
        <f>+'MODULO 3'!B23</f>
        <v>Unidad 3. Clustering y Segmentación (5 horas)</v>
      </c>
      <c r="I25" s="28" t="s">
        <v>76</v>
      </c>
      <c r="J25" s="29" t="str">
        <f>+'MODULO 3'!D23</f>
        <v>K-Means.</v>
      </c>
      <c r="K25" s="94" t="str">
        <f>+'MODULO 4'!B23</f>
        <v>Unidad 3. Automatización de Procesos (5 horas)</v>
      </c>
      <c r="L25" s="28" t="s">
        <v>76</v>
      </c>
      <c r="M25" s="29" t="str">
        <f>+'MODULO 4'!D23</f>
        <v>Scripts automatizados.</v>
      </c>
      <c r="N25" s="94" t="str">
        <f>+'MODULO 5'!B23</f>
        <v>Unidad 3. Forecasting con IA (5 horas)</v>
      </c>
      <c r="O25" s="53" t="s">
        <v>76</v>
      </c>
      <c r="P25" s="34" t="str">
        <f>+'MODULO 5'!D23</f>
        <v>Modelos predictivos.</v>
      </c>
      <c r="Q25" s="94" t="str">
        <f>+'MODULO 6'!B23</f>
        <v>Unidad 3. Introducción a Deep Learning (5 horas)</v>
      </c>
      <c r="R25" s="53" t="s">
        <v>76</v>
      </c>
      <c r="S25" s="34" t="str">
        <f>+'MODULO 6'!D23</f>
        <v>Redes neuronales.</v>
      </c>
    </row>
    <row r="26" spans="1:19" x14ac:dyDescent="0.2">
      <c r="A26" s="95"/>
      <c r="B26" s="95"/>
      <c r="C26" s="28" t="s">
        <v>78</v>
      </c>
      <c r="D26" s="38" t="str">
        <f>+'MODULO 1 '!D24:H24</f>
        <v>Clasificación y regresión.</v>
      </c>
      <c r="E26" s="95"/>
      <c r="F26" s="28" t="s">
        <v>78</v>
      </c>
      <c r="G26" s="29" t="str">
        <f>+'MODULO 2 '!D24</f>
        <v>Procesos ETL.</v>
      </c>
      <c r="H26" s="95"/>
      <c r="I26" s="28" t="s">
        <v>78</v>
      </c>
      <c r="J26" s="29" t="str">
        <f>+'MODULO 3'!D24</f>
        <v>Clustering jerárquico.</v>
      </c>
      <c r="K26" s="95"/>
      <c r="L26" s="28" t="s">
        <v>78</v>
      </c>
      <c r="M26" s="29" t="str">
        <f>+'MODULO 4'!D24</f>
        <v>Programación de tareas.</v>
      </c>
      <c r="N26" s="95"/>
      <c r="O26" s="53" t="s">
        <v>78</v>
      </c>
      <c r="P26" s="34" t="str">
        <f>+'MODULO 5'!D24</f>
        <v>Forecasting híbrido.</v>
      </c>
      <c r="Q26" s="95"/>
      <c r="R26" s="53" t="s">
        <v>78</v>
      </c>
      <c r="S26" s="34" t="str">
        <f>+'MODULO 6'!D24</f>
        <v>TensorFlow.</v>
      </c>
    </row>
    <row r="27" spans="1:19" x14ac:dyDescent="0.2">
      <c r="A27" s="95"/>
      <c r="B27" s="95"/>
      <c r="C27" s="28" t="s">
        <v>81</v>
      </c>
      <c r="D27" s="38" t="str">
        <f>+'MODULO 1 '!D25:H25</f>
        <v>Segmentación.</v>
      </c>
      <c r="E27" s="95"/>
      <c r="F27" s="28" t="s">
        <v>81</v>
      </c>
      <c r="G27" s="29" t="str">
        <f>+'MODULO 2 '!D25</f>
        <v>Bases relacionales.</v>
      </c>
      <c r="H27" s="95"/>
      <c r="I27" s="28" t="s">
        <v>81</v>
      </c>
      <c r="J27" s="29" t="str">
        <f>+'MODULO 3'!D25</f>
        <v>Segmentación económica.</v>
      </c>
      <c r="K27" s="95"/>
      <c r="L27" s="28" t="s">
        <v>81</v>
      </c>
      <c r="M27" s="29" t="str">
        <f>+'MODULO 4'!D25</f>
        <v>Flujos ETL.</v>
      </c>
      <c r="N27" s="95"/>
      <c r="O27" s="53" t="s">
        <v>81</v>
      </c>
      <c r="P27" s="34" t="str">
        <f>+'MODULO 5'!D25</f>
        <v>Redes neuronales básicas.</v>
      </c>
      <c r="Q27" s="95"/>
      <c r="R27" s="53" t="s">
        <v>81</v>
      </c>
      <c r="S27" s="34" t="str">
        <f>+'MODULO 6'!D25</f>
        <v>Keras.</v>
      </c>
    </row>
    <row r="28" spans="1:19" x14ac:dyDescent="0.2">
      <c r="A28" s="95"/>
      <c r="B28" s="95"/>
      <c r="C28" s="28" t="s">
        <v>85</v>
      </c>
      <c r="D28" s="38" t="str">
        <f>+'MODULO 1 '!D26:H26</f>
        <v>Evaluación de modelos.</v>
      </c>
      <c r="E28" s="95"/>
      <c r="F28" s="28" t="s">
        <v>85</v>
      </c>
      <c r="G28" s="29" t="str">
        <f>+'MODULO 2 '!D26</f>
        <v>Bases NoSQL.</v>
      </c>
      <c r="H28" s="95"/>
      <c r="I28" s="28" t="s">
        <v>85</v>
      </c>
      <c r="J28" s="29" t="str">
        <f>+'MODULO 3'!D26</f>
        <v>Detección de patrones.</v>
      </c>
      <c r="K28" s="95"/>
      <c r="L28" s="28" t="s">
        <v>85</v>
      </c>
      <c r="M28" s="29" t="str">
        <f>+'MODULO 4'!D26</f>
        <v>Automatización de reportes.</v>
      </c>
      <c r="N28" s="95"/>
      <c r="O28" s="53" t="s">
        <v>85</v>
      </c>
      <c r="P28" s="34" t="str">
        <f>+'MODULO 5'!D26</f>
        <v>Evaluación predictiva.</v>
      </c>
      <c r="Q28" s="95"/>
      <c r="R28" s="53" t="s">
        <v>85</v>
      </c>
      <c r="S28" s="34" t="str">
        <f>+'MODULO 6'!D26</f>
        <v>Deep learning básico.</v>
      </c>
    </row>
    <row r="29" spans="1:19" x14ac:dyDescent="0.2">
      <c r="A29" s="95"/>
      <c r="B29" s="96"/>
      <c r="C29" s="28" t="s">
        <v>87</v>
      </c>
      <c r="D29" s="38" t="str">
        <f>+'MODULO 1 '!D27:H27</f>
        <v>Interpretación de resultados.</v>
      </c>
      <c r="E29" s="96"/>
      <c r="F29" s="28" t="s">
        <v>87</v>
      </c>
      <c r="G29" s="29" t="str">
        <f>+'MODULO 2 '!D27</f>
        <v>Integración de datos.</v>
      </c>
      <c r="H29" s="96"/>
      <c r="I29" s="28" t="s">
        <v>87</v>
      </c>
      <c r="J29" s="29" t="str">
        <f>+'MODULO 3'!D27</f>
        <v>Interpretación de clusters</v>
      </c>
      <c r="K29" s="97"/>
      <c r="L29" s="28" t="s">
        <v>87</v>
      </c>
      <c r="M29" s="29" t="str">
        <f>+'MODULO 4'!D27</f>
        <v>Integración de procesos.</v>
      </c>
      <c r="N29" s="96"/>
      <c r="O29" s="53" t="s">
        <v>87</v>
      </c>
      <c r="P29" s="34" t="str">
        <f>+'MODULO 5'!D27</f>
        <v>Optimización de modelos.</v>
      </c>
      <c r="Q29" s="96"/>
      <c r="R29" s="53" t="s">
        <v>87</v>
      </c>
      <c r="S29" s="34" t="str">
        <f>+'MODULO 6'!D27</f>
        <v>Aplicaciones predictivas.</v>
      </c>
    </row>
    <row r="30" spans="1:19" x14ac:dyDescent="0.2">
      <c r="A30" s="95"/>
      <c r="B30" s="94" t="str">
        <f>+'MODULO 1 '!B28</f>
        <v>Unidad 4. IA aplicada a Economía (5 horas)</v>
      </c>
      <c r="C30" s="28" t="s">
        <v>92</v>
      </c>
      <c r="D30" s="38" t="str">
        <f>+'MODULO 1 '!D28:H28</f>
        <v>Analítica económica.</v>
      </c>
      <c r="E30" s="94" t="str">
        <f>+'MODULO 2 '!B28</f>
        <v>Unidad 4. Big Data Analytics (5 horas)</v>
      </c>
      <c r="F30" s="28" t="s">
        <v>92</v>
      </c>
      <c r="G30" s="29" t="str">
        <f>+'MODULO 2 '!D28</f>
        <v>Procesamiento masivo.</v>
      </c>
      <c r="H30" s="94" t="str">
        <f>+'MODULO 3'!B28</f>
        <v>Unidad 4. Reducción de Dimensionalidad (5 horas)</v>
      </c>
      <c r="I30" s="28" t="s">
        <v>92</v>
      </c>
      <c r="J30" s="29" t="str">
        <f>+'MODULO 3'!D28</f>
        <v>PCA.</v>
      </c>
      <c r="K30" s="94" t="str">
        <f>+'MODULO 4'!B28</f>
        <v>Unidad 4. Agentes Inteligentes (5 horas)</v>
      </c>
      <c r="L30" s="28" t="s">
        <v>92</v>
      </c>
      <c r="M30" s="29" t="str">
        <f>+'MODULO 4'!D28</f>
        <v>Introducción a agentes IA.</v>
      </c>
      <c r="N30" s="94" t="str">
        <f>+'MODULO 5'!B28</f>
        <v>Unidad 4. Pronóstico Macroeconómico (5 horas)</v>
      </c>
      <c r="O30" s="53" t="s">
        <v>92</v>
      </c>
      <c r="P30" s="34" t="str">
        <f>+'MODULO 5'!D28</f>
        <v>PIB.</v>
      </c>
      <c r="Q30" s="94" t="str">
        <f>+'MODULO 6'!B28</f>
        <v>Unidad 4. Aplicaciones Económicas Avanzadas (5 horas)</v>
      </c>
      <c r="R30" s="53" t="s">
        <v>92</v>
      </c>
      <c r="S30" s="34" t="str">
        <f>+'MODULO 6'!D28</f>
        <v>Analítica predictiva.</v>
      </c>
    </row>
    <row r="31" spans="1:19" x14ac:dyDescent="0.2">
      <c r="A31" s="95"/>
      <c r="B31" s="95"/>
      <c r="C31" s="28" t="s">
        <v>95</v>
      </c>
      <c r="D31" s="38" t="str">
        <f>+'MODULO 1 '!D29:H29</f>
        <v>Variables macroeconómicas.</v>
      </c>
      <c r="E31" s="95"/>
      <c r="F31" s="28" t="s">
        <v>95</v>
      </c>
      <c r="G31" s="29" t="str">
        <f>+'MODULO 2 '!D29</f>
        <v>Datos estructurados.</v>
      </c>
      <c r="H31" s="95"/>
      <c r="I31" s="28" t="s">
        <v>95</v>
      </c>
      <c r="J31" s="29" t="str">
        <f>+'MODULO 3'!D29</f>
        <v>Selección de variables.</v>
      </c>
      <c r="K31" s="95"/>
      <c r="L31" s="28" t="s">
        <v>95</v>
      </c>
      <c r="M31" s="29" t="str">
        <f>+'MODULO 4'!D29</f>
        <v>Procesamiento automático.</v>
      </c>
      <c r="N31" s="95"/>
      <c r="O31" s="53" t="s">
        <v>95</v>
      </c>
      <c r="P31" s="34" t="str">
        <f>+'MODULO 5'!D29</f>
        <v>Inflación.
Comercio exterior.
Inversión pública y privada.
Consumo de hogares.</v>
      </c>
      <c r="Q31" s="95"/>
      <c r="R31" s="53" t="s">
        <v>95</v>
      </c>
      <c r="S31" s="34" t="str">
        <f>+'MODULO 6'!D29</f>
        <v>Detección de anomalías.</v>
      </c>
    </row>
    <row r="32" spans="1:19" x14ac:dyDescent="0.2">
      <c r="A32" s="95"/>
      <c r="B32" s="95"/>
      <c r="C32" s="28" t="s">
        <v>98</v>
      </c>
      <c r="D32" s="38" t="str">
        <f>+'MODULO 1 '!D30:H30</f>
        <v>Predicción económica.</v>
      </c>
      <c r="E32" s="95"/>
      <c r="F32" s="28" t="s">
        <v>98</v>
      </c>
      <c r="G32" s="29" t="str">
        <f>+'MODULO 2 '!D30</f>
        <v>Datos no estructurados.</v>
      </c>
      <c r="H32" s="95"/>
      <c r="I32" s="28" t="s">
        <v>98</v>
      </c>
      <c r="J32" s="29" t="str">
        <f>+'MODULO 3'!D30</f>
        <v>Ingeniería de características.</v>
      </c>
      <c r="K32" s="95"/>
      <c r="L32" s="28" t="s">
        <v>98</v>
      </c>
      <c r="M32" s="29" t="str">
        <f>+'MODULO 4'!D30</f>
        <v>Automatización inteligente.</v>
      </c>
      <c r="N32" s="95"/>
      <c r="O32" s="53" t="s">
        <v>98</v>
      </c>
      <c r="P32" s="34">
        <f>+'MODULO 5'!D30</f>
        <v>0</v>
      </c>
      <c r="Q32" s="95"/>
      <c r="R32" s="53" t="s">
        <v>98</v>
      </c>
      <c r="S32" s="34" t="str">
        <f>+'MODULO 6'!D30</f>
        <v>Segmentación económica.</v>
      </c>
    </row>
    <row r="33" spans="1:19" x14ac:dyDescent="0.2">
      <c r="A33" s="95"/>
      <c r="B33" s="95"/>
      <c r="C33" s="28" t="s">
        <v>101</v>
      </c>
      <c r="D33" s="38" t="str">
        <f>+'MODULO 1 '!D31:H31</f>
        <v>Automatización de análisis.</v>
      </c>
      <c r="E33" s="95"/>
      <c r="F33" s="28" t="s">
        <v>101</v>
      </c>
      <c r="G33" s="29" t="str">
        <f>+'MODULO 2 '!D31</f>
        <v>Introducción a Spark.</v>
      </c>
      <c r="H33" s="95"/>
      <c r="I33" s="28" t="s">
        <v>101</v>
      </c>
      <c r="J33" s="29" t="str">
        <f>+'MODULO 3'!D31</f>
        <v>Visualización multidimensional.</v>
      </c>
      <c r="K33" s="95"/>
      <c r="L33" s="28" t="s">
        <v>101</v>
      </c>
      <c r="M33" s="29" t="str">
        <f>+'MODULO 4'!D31</f>
        <v>Integración de modelos.</v>
      </c>
      <c r="N33" s="95"/>
      <c r="O33" s="53" t="s">
        <v>101</v>
      </c>
      <c r="P33" s="34">
        <f>+'MODULO 5'!D31</f>
        <v>0</v>
      </c>
      <c r="Q33" s="95"/>
      <c r="R33" s="53" t="s">
        <v>101</v>
      </c>
      <c r="S33" s="34" t="str">
        <f>+'MODULO 6'!D31</f>
        <v>Riesgo financiero.</v>
      </c>
    </row>
    <row r="34" spans="1:19" x14ac:dyDescent="0.2">
      <c r="A34" s="95"/>
      <c r="B34" s="96"/>
      <c r="C34" s="28" t="s">
        <v>104</v>
      </c>
      <c r="D34" s="38" t="str">
        <f>+'MODULO 1 '!D32:H32</f>
        <v>Innovación institucional.</v>
      </c>
      <c r="E34" s="96"/>
      <c r="F34" s="28" t="s">
        <v>104</v>
      </c>
      <c r="G34" s="29" t="str">
        <f>+'MODULO 2 '!D32</f>
        <v>Analítica distribuida.</v>
      </c>
      <c r="H34" s="97"/>
      <c r="I34" s="28" t="s">
        <v>104</v>
      </c>
      <c r="J34" s="29" t="str">
        <f>+'MODULO 3'!D32</f>
        <v>Optimización de modelos.</v>
      </c>
      <c r="K34" s="97"/>
      <c r="L34" s="28" t="s">
        <v>104</v>
      </c>
      <c r="M34" s="29" t="str">
        <f>+'MODULO 4'!D32</f>
        <v>Casos institucionales.</v>
      </c>
      <c r="N34" s="96"/>
      <c r="O34" s="53" t="s">
        <v>104</v>
      </c>
      <c r="P34" s="34">
        <f>+'MODULO 5'!D32</f>
        <v>0</v>
      </c>
      <c r="Q34" s="96"/>
      <c r="R34" s="53" t="s">
        <v>104</v>
      </c>
      <c r="S34" s="34" t="str">
        <f>+'MODULO 6'!D32</f>
        <v>Innovación institucional.</v>
      </c>
    </row>
    <row r="35" spans="1:19" x14ac:dyDescent="0.2">
      <c r="A35" s="95"/>
      <c r="B35" s="94" t="str">
        <f>+'MODULO 1 '!B33</f>
        <v>Unidad 5. Taller Introductorio (5 horas)</v>
      </c>
      <c r="C35" s="28" t="s">
        <v>108</v>
      </c>
      <c r="D35" s="38" t="str">
        <f>+'MODULO 1 '!D33:H33</f>
        <v>Laboratorio con Python.</v>
      </c>
      <c r="E35" s="94" t="str">
        <f>+'MODULO 2 '!B33</f>
        <v>Unidad 5. Taller de Programación (5 horas)</v>
      </c>
      <c r="F35" s="56" t="s">
        <v>108</v>
      </c>
      <c r="G35" s="29" t="str">
        <f>+'MODULO 2 '!D33</f>
        <v>Automatización de procesos.</v>
      </c>
      <c r="H35" s="99" t="str">
        <f>+'MODULO 3'!B33</f>
        <v>Unidad 5. Taller de Modelos Predictivos (5 horas)</v>
      </c>
      <c r="I35" s="28" t="s">
        <v>108</v>
      </c>
      <c r="J35" s="29" t="str">
        <f>+'MODULO 3'!D33</f>
        <v>Construcción de modelos.</v>
      </c>
      <c r="K35" s="100" t="str">
        <f>+'MODULO 4'!B33</f>
        <v>Unidad 5. Taller Integrador (5 horas)</v>
      </c>
      <c r="L35" s="53" t="s">
        <v>108</v>
      </c>
      <c r="M35" s="29" t="str">
        <f>+'MODULO 4'!D33</f>
        <v>Desarrollo de scraper.</v>
      </c>
      <c r="N35" s="94" t="str">
        <f>+'MODULO 5'!B33</f>
        <v>Unidad 5. Taller de Forecasting (5 horas)</v>
      </c>
      <c r="O35" s="57" t="s">
        <v>108</v>
      </c>
      <c r="P35" s="34" t="str">
        <f>+'MODULO 5'!D33</f>
        <v>Construcción de modelos.
Comparación predictiva.
Automatización de forecasting.
Visualización de resultados.
Presentación ejecutiva.</v>
      </c>
      <c r="Q35" s="94" t="str">
        <f>+'MODULO 6'!B33</f>
        <v>Unidad 5. Proyecto Final Integrador (5 horas)</v>
      </c>
      <c r="R35" s="57" t="s">
        <v>108</v>
      </c>
      <c r="S35" s="34" t="str">
        <f>+'MODULO 6'!D33</f>
        <v>Desarrollo de modelo avanzado.</v>
      </c>
    </row>
    <row r="36" spans="1:19" x14ac:dyDescent="0.2">
      <c r="A36" s="95"/>
      <c r="B36" s="95"/>
      <c r="C36" s="28" t="s">
        <v>111</v>
      </c>
      <c r="D36" s="38" t="str">
        <f>+'MODULO 1 '!D34:H34</f>
        <v>Introducción a R.</v>
      </c>
      <c r="E36" s="95"/>
      <c r="F36" s="56" t="s">
        <v>111</v>
      </c>
      <c r="G36" s="29" t="str">
        <f>+'MODULO 2 '!D34</f>
        <v>Scripts analíticos.</v>
      </c>
      <c r="H36" s="95"/>
      <c r="I36" s="28" t="s">
        <v>111</v>
      </c>
      <c r="J36" s="29" t="str">
        <f>+'MODULO 3'!D34</f>
        <v>Evaluación comparativa.</v>
      </c>
      <c r="K36" s="95"/>
      <c r="L36" s="53" t="s">
        <v>111</v>
      </c>
      <c r="M36" s="29" t="str">
        <f>+'MODULO 4'!D34</f>
        <v>Integración API.</v>
      </c>
      <c r="N36" s="95"/>
      <c r="O36" s="57" t="s">
        <v>111</v>
      </c>
      <c r="P36" s="34">
        <f>+'MODULO 5'!D34</f>
        <v>0</v>
      </c>
      <c r="Q36" s="95"/>
      <c r="R36" s="57" t="s">
        <v>111</v>
      </c>
      <c r="S36" s="34" t="str">
        <f>+'MODULO 6'!D34</f>
        <v>Automatización de análisis.</v>
      </c>
    </row>
    <row r="37" spans="1:19" x14ac:dyDescent="0.2">
      <c r="A37" s="95"/>
      <c r="B37" s="95"/>
      <c r="C37" s="28" t="s">
        <v>113</v>
      </c>
      <c r="D37" s="38" t="str">
        <f>+'MODULO 1 '!D35:H35</f>
        <v>Exploración de datos.</v>
      </c>
      <c r="E37" s="95"/>
      <c r="F37" s="56" t="s">
        <v>113</v>
      </c>
      <c r="G37" s="29" t="str">
        <f>+'MODULO 2 '!D35</f>
        <v>Limpieza masiva.</v>
      </c>
      <c r="H37" s="95"/>
      <c r="I37" s="28" t="s">
        <v>113</v>
      </c>
      <c r="J37" s="29" t="str">
        <f>+'MODULO 3'!D35</f>
        <v>Automatización de análisis.</v>
      </c>
      <c r="K37" s="95"/>
      <c r="L37" s="53" t="s">
        <v>113</v>
      </c>
      <c r="M37" s="29" t="str">
        <f>+'MODULO 4'!D35</f>
        <v>Automatización analítica.</v>
      </c>
      <c r="N37" s="95"/>
      <c r="O37" s="57" t="s">
        <v>113</v>
      </c>
      <c r="P37" s="34">
        <f>+'MODULO 5'!D35</f>
        <v>0</v>
      </c>
      <c r="Q37" s="95"/>
      <c r="R37" s="57" t="s">
        <v>113</v>
      </c>
      <c r="S37" s="34" t="str">
        <f>+'MODULO 6'!D35</f>
        <v>Visualización de resultados.</v>
      </c>
    </row>
    <row r="38" spans="1:19" x14ac:dyDescent="0.2">
      <c r="A38" s="95"/>
      <c r="B38" s="95"/>
      <c r="C38" s="28" t="s">
        <v>116</v>
      </c>
      <c r="D38" s="38" t="str">
        <f>+'MODULO 1 '!D36:H36</f>
        <v>Visualización básica.</v>
      </c>
      <c r="E38" s="95"/>
      <c r="F38" s="56" t="s">
        <v>116</v>
      </c>
      <c r="G38" s="29" t="str">
        <f>+'MODULO 2 '!D36</f>
        <v>Integración de datasets.</v>
      </c>
      <c r="H38" s="95"/>
      <c r="I38" s="28" t="s">
        <v>116</v>
      </c>
      <c r="J38" s="29" t="str">
        <f>+'MODULO 3'!D36</f>
        <v>Forecasting económico.</v>
      </c>
      <c r="K38" s="95"/>
      <c r="L38" s="53" t="s">
        <v>116</v>
      </c>
      <c r="M38" s="29" t="str">
        <f>+'MODULO 4'!D36</f>
        <v>Generación de reportes.</v>
      </c>
      <c r="N38" s="95"/>
      <c r="O38" s="57" t="s">
        <v>116</v>
      </c>
      <c r="P38" s="34">
        <f>+'MODULO 5'!D36</f>
        <v>0</v>
      </c>
      <c r="Q38" s="95"/>
      <c r="R38" s="57" t="s">
        <v>116</v>
      </c>
      <c r="S38" s="34" t="str">
        <f>+'MODULO 6'!D36</f>
        <v>Presentación ejecutiva.</v>
      </c>
    </row>
    <row r="39" spans="1:19" x14ac:dyDescent="0.2">
      <c r="A39" s="96"/>
      <c r="B39" s="96"/>
      <c r="C39" s="59" t="s">
        <v>119</v>
      </c>
      <c r="D39" s="60" t="str">
        <f>+'MODULO 1 '!D37:H37</f>
        <v>Ejercicios prácticos.</v>
      </c>
      <c r="E39" s="97"/>
      <c r="F39" s="61" t="s">
        <v>119</v>
      </c>
      <c r="G39" s="62" t="str">
        <f>+'MODULO 2 '!D37</f>
        <v>Presentación de resultados.</v>
      </c>
      <c r="H39" s="96"/>
      <c r="I39" s="59" t="s">
        <v>119</v>
      </c>
      <c r="J39" s="62" t="str">
        <f>+'MODULO 3'!D37</f>
        <v>Presentación de resultados.</v>
      </c>
      <c r="K39" s="96"/>
      <c r="L39" s="63" t="s">
        <v>119</v>
      </c>
      <c r="M39" s="62" t="str">
        <f>+'MODULO 4'!D37</f>
        <v>Presentación de resultados.</v>
      </c>
      <c r="N39" s="97"/>
      <c r="O39" s="64" t="s">
        <v>119</v>
      </c>
      <c r="P39" s="65">
        <f>+'MODULO 5'!D37</f>
        <v>0</v>
      </c>
      <c r="Q39" s="97"/>
      <c r="R39" s="64" t="s">
        <v>119</v>
      </c>
      <c r="S39" s="65" t="str">
        <f>+'MODULO 6'!D37</f>
        <v>Retroalimentación final.</v>
      </c>
    </row>
    <row r="40" spans="1:19" x14ac:dyDescent="0.2">
      <c r="A40" s="101" t="s">
        <v>184</v>
      </c>
      <c r="B40" s="91"/>
      <c r="C40" s="91"/>
      <c r="D40" s="91"/>
      <c r="E40" s="91"/>
      <c r="F40" s="91"/>
      <c r="G40" s="91"/>
      <c r="H40" s="92"/>
      <c r="I40" s="101" t="s">
        <v>159</v>
      </c>
      <c r="J40" s="91"/>
      <c r="K40" s="91"/>
      <c r="L40" s="91"/>
      <c r="M40" s="92"/>
      <c r="N40" s="102" t="s">
        <v>185</v>
      </c>
      <c r="O40" s="91"/>
      <c r="P40" s="91"/>
      <c r="Q40" s="91"/>
      <c r="R40" s="91"/>
      <c r="S40" s="92"/>
    </row>
    <row r="41" spans="1:19" x14ac:dyDescent="0.2">
      <c r="A41" s="104" t="s">
        <v>186</v>
      </c>
      <c r="B41" s="91"/>
      <c r="C41" s="91"/>
      <c r="D41" s="91"/>
      <c r="E41" s="91"/>
      <c r="F41" s="91"/>
      <c r="G41" s="91"/>
      <c r="H41" s="92"/>
      <c r="I41" s="106">
        <v>46113</v>
      </c>
      <c r="J41" s="91"/>
      <c r="K41" s="91"/>
      <c r="L41" s="91"/>
      <c r="M41" s="92"/>
      <c r="N41" s="104" t="s">
        <v>187</v>
      </c>
      <c r="O41" s="91"/>
      <c r="P41" s="91"/>
      <c r="Q41" s="91"/>
      <c r="R41" s="91"/>
      <c r="S41" s="92"/>
    </row>
    <row r="42" spans="1:19" x14ac:dyDescent="0.2">
      <c r="A42" s="107" t="s">
        <v>166</v>
      </c>
      <c r="B42" s="108"/>
      <c r="C42" s="108"/>
      <c r="D42" s="108"/>
      <c r="E42" s="108"/>
      <c r="F42" s="108"/>
      <c r="G42" s="108"/>
      <c r="H42" s="108"/>
      <c r="I42" s="108"/>
      <c r="J42" s="108"/>
      <c r="K42" s="108"/>
      <c r="L42" s="108"/>
      <c r="M42" s="108"/>
      <c r="N42" s="108"/>
      <c r="O42" s="108"/>
      <c r="P42" s="108"/>
      <c r="Q42" s="108"/>
      <c r="R42" s="108"/>
      <c r="S42" s="109"/>
    </row>
    <row r="43" spans="1:19" x14ac:dyDescent="0.2">
      <c r="A43" s="101" t="s">
        <v>168</v>
      </c>
      <c r="B43" s="91"/>
      <c r="C43" s="92"/>
      <c r="D43" s="101" t="s">
        <v>188</v>
      </c>
      <c r="E43" s="92"/>
      <c r="F43" s="101" t="s">
        <v>170</v>
      </c>
      <c r="G43" s="91"/>
      <c r="H43" s="91"/>
      <c r="I43" s="91"/>
      <c r="J43" s="91"/>
      <c r="K43" s="91"/>
      <c r="L43" s="91"/>
      <c r="M43" s="91"/>
      <c r="N43" s="91"/>
      <c r="O43" s="91"/>
      <c r="P43" s="92"/>
      <c r="Q43" s="101" t="s">
        <v>189</v>
      </c>
      <c r="R43" s="91"/>
      <c r="S43" s="92"/>
    </row>
    <row r="44" spans="1:19" x14ac:dyDescent="0.2">
      <c r="A44" s="103" t="s">
        <v>178</v>
      </c>
      <c r="B44" s="91"/>
      <c r="C44" s="92"/>
      <c r="D44" s="104" t="s">
        <v>190</v>
      </c>
      <c r="E44" s="92"/>
      <c r="F44" s="104" t="s">
        <v>191</v>
      </c>
      <c r="G44" s="91"/>
      <c r="H44" s="91"/>
      <c r="I44" s="91"/>
      <c r="J44" s="91"/>
      <c r="K44" s="91"/>
      <c r="L44" s="91"/>
      <c r="M44" s="91"/>
      <c r="N44" s="91"/>
      <c r="O44" s="91"/>
      <c r="P44" s="92"/>
      <c r="Q44" s="105"/>
      <c r="R44" s="91"/>
      <c r="S44" s="92"/>
    </row>
    <row r="45" spans="1:19" x14ac:dyDescent="0.2">
      <c r="Q45" s="67"/>
      <c r="R45" s="67"/>
      <c r="S45" s="67"/>
    </row>
    <row r="46" spans="1:19" x14ac:dyDescent="0.2">
      <c r="Q46" s="67"/>
      <c r="R46" s="67"/>
      <c r="S46" s="67"/>
    </row>
    <row r="47" spans="1:19" x14ac:dyDescent="0.2">
      <c r="Q47" s="67"/>
      <c r="R47" s="67"/>
      <c r="S47" s="67"/>
    </row>
    <row r="48" spans="1:19" x14ac:dyDescent="0.2">
      <c r="Q48" s="67"/>
      <c r="R48" s="67"/>
      <c r="S48" s="67"/>
    </row>
    <row r="49" spans="17:19" x14ac:dyDescent="0.2">
      <c r="Q49" s="67"/>
      <c r="R49" s="67"/>
      <c r="S49" s="67"/>
    </row>
    <row r="50" spans="17:19" x14ac:dyDescent="0.2">
      <c r="Q50" s="67"/>
      <c r="R50" s="67"/>
      <c r="S50" s="67"/>
    </row>
    <row r="51" spans="17:19" x14ac:dyDescent="0.2">
      <c r="Q51" s="67"/>
      <c r="R51" s="67"/>
      <c r="S51" s="67"/>
    </row>
    <row r="52" spans="17:19" x14ac:dyDescent="0.2">
      <c r="Q52" s="67"/>
      <c r="R52" s="67"/>
      <c r="S52" s="67"/>
    </row>
    <row r="53" spans="17:19" x14ac:dyDescent="0.2">
      <c r="Q53" s="67"/>
      <c r="R53" s="67"/>
      <c r="S53" s="67"/>
    </row>
    <row r="54" spans="17:19" x14ac:dyDescent="0.2">
      <c r="Q54" s="67"/>
      <c r="R54" s="67"/>
      <c r="S54" s="67"/>
    </row>
    <row r="55" spans="17:19" x14ac:dyDescent="0.2">
      <c r="Q55" s="67"/>
      <c r="R55" s="67"/>
      <c r="S55" s="67"/>
    </row>
    <row r="56" spans="17:19" x14ac:dyDescent="0.2">
      <c r="Q56" s="67"/>
      <c r="R56" s="67"/>
      <c r="S56" s="67"/>
    </row>
    <row r="57" spans="17:19" x14ac:dyDescent="0.2">
      <c r="Q57" s="67"/>
      <c r="R57" s="67"/>
      <c r="S57" s="67"/>
    </row>
    <row r="58" spans="17:19" x14ac:dyDescent="0.2">
      <c r="Q58" s="67"/>
      <c r="R58" s="67"/>
      <c r="S58" s="67"/>
    </row>
    <row r="59" spans="17:19" x14ac:dyDescent="0.2">
      <c r="Q59" s="67"/>
      <c r="R59" s="67"/>
      <c r="S59" s="67"/>
    </row>
    <row r="60" spans="17:19" x14ac:dyDescent="0.2">
      <c r="Q60" s="67"/>
      <c r="R60" s="67"/>
      <c r="S60" s="67"/>
    </row>
    <row r="61" spans="17:19" x14ac:dyDescent="0.2">
      <c r="Q61" s="67"/>
      <c r="R61" s="67"/>
      <c r="S61" s="67"/>
    </row>
    <row r="62" spans="17:19" x14ac:dyDescent="0.2">
      <c r="Q62" s="67"/>
      <c r="R62" s="67"/>
      <c r="S62" s="67"/>
    </row>
    <row r="63" spans="17:19" x14ac:dyDescent="0.2">
      <c r="Q63" s="67"/>
      <c r="R63" s="67"/>
      <c r="S63" s="67"/>
    </row>
    <row r="64" spans="17:19" x14ac:dyDescent="0.2">
      <c r="Q64" s="67"/>
      <c r="R64" s="67"/>
      <c r="S64" s="67"/>
    </row>
    <row r="65" spans="17:19" x14ac:dyDescent="0.2">
      <c r="Q65" s="67"/>
      <c r="R65" s="67"/>
      <c r="S65" s="67"/>
    </row>
    <row r="66" spans="17:19" x14ac:dyDescent="0.2">
      <c r="Q66" s="67"/>
      <c r="R66" s="67"/>
      <c r="S66" s="67"/>
    </row>
    <row r="67" spans="17:19" x14ac:dyDescent="0.2">
      <c r="Q67" s="67"/>
      <c r="R67" s="67"/>
      <c r="S67" s="67"/>
    </row>
    <row r="68" spans="17:19" x14ac:dyDescent="0.2">
      <c r="Q68" s="67"/>
      <c r="R68" s="67"/>
      <c r="S68" s="67"/>
    </row>
    <row r="69" spans="17:19" x14ac:dyDescent="0.2">
      <c r="Q69" s="67"/>
      <c r="R69" s="67"/>
      <c r="S69" s="67"/>
    </row>
    <row r="70" spans="17:19" x14ac:dyDescent="0.2">
      <c r="Q70" s="67"/>
      <c r="R70" s="67"/>
      <c r="S70" s="67"/>
    </row>
    <row r="71" spans="17:19" x14ac:dyDescent="0.2">
      <c r="Q71" s="67"/>
      <c r="R71" s="67"/>
      <c r="S71" s="67"/>
    </row>
    <row r="72" spans="17:19" x14ac:dyDescent="0.2">
      <c r="Q72" s="67"/>
      <c r="R72" s="67"/>
      <c r="S72" s="67"/>
    </row>
    <row r="73" spans="17:19" x14ac:dyDescent="0.2">
      <c r="Q73" s="67"/>
      <c r="R73" s="67"/>
      <c r="S73" s="67"/>
    </row>
    <row r="74" spans="17:19" x14ac:dyDescent="0.2">
      <c r="Q74" s="67"/>
      <c r="R74" s="67"/>
      <c r="S74" s="67"/>
    </row>
    <row r="75" spans="17:19" x14ac:dyDescent="0.2">
      <c r="Q75" s="67"/>
      <c r="R75" s="67"/>
      <c r="S75" s="67"/>
    </row>
    <row r="76" spans="17:19" x14ac:dyDescent="0.2">
      <c r="Q76" s="67"/>
      <c r="R76" s="67"/>
      <c r="S76" s="67"/>
    </row>
    <row r="77" spans="17:19" x14ac:dyDescent="0.2">
      <c r="Q77" s="67"/>
      <c r="R77" s="67"/>
      <c r="S77" s="67"/>
    </row>
    <row r="78" spans="17:19" x14ac:dyDescent="0.2">
      <c r="Q78" s="67"/>
      <c r="R78" s="67"/>
      <c r="S78" s="67"/>
    </row>
    <row r="79" spans="17:19" x14ac:dyDescent="0.2">
      <c r="Q79" s="67"/>
      <c r="R79" s="67"/>
      <c r="S79" s="67"/>
    </row>
    <row r="80" spans="17:19" x14ac:dyDescent="0.2">
      <c r="Q80" s="67"/>
      <c r="R80" s="67"/>
      <c r="S80" s="67"/>
    </row>
    <row r="81" spans="17:19" x14ac:dyDescent="0.2">
      <c r="Q81" s="67"/>
      <c r="R81" s="67"/>
      <c r="S81" s="67"/>
    </row>
    <row r="82" spans="17:19" x14ac:dyDescent="0.2">
      <c r="Q82" s="67"/>
      <c r="R82" s="67"/>
      <c r="S82" s="67"/>
    </row>
    <row r="83" spans="17:19" x14ac:dyDescent="0.2">
      <c r="Q83" s="67"/>
      <c r="R83" s="67"/>
      <c r="S83" s="67"/>
    </row>
    <row r="84" spans="17:19" x14ac:dyDescent="0.2">
      <c r="Q84" s="67"/>
      <c r="R84" s="67"/>
      <c r="S84" s="67"/>
    </row>
    <row r="85" spans="17:19" x14ac:dyDescent="0.2">
      <c r="Q85" s="67"/>
      <c r="R85" s="67"/>
      <c r="S85" s="67"/>
    </row>
    <row r="86" spans="17:19" x14ac:dyDescent="0.2">
      <c r="Q86" s="67"/>
      <c r="R86" s="67"/>
      <c r="S86" s="67"/>
    </row>
    <row r="87" spans="17:19" x14ac:dyDescent="0.2">
      <c r="Q87" s="67"/>
      <c r="R87" s="67"/>
      <c r="S87" s="67"/>
    </row>
    <row r="88" spans="17:19" x14ac:dyDescent="0.2">
      <c r="Q88" s="67"/>
      <c r="R88" s="67"/>
      <c r="S88" s="67"/>
    </row>
    <row r="89" spans="17:19" x14ac:dyDescent="0.2">
      <c r="Q89" s="67"/>
      <c r="R89" s="67"/>
      <c r="S89" s="67"/>
    </row>
    <row r="90" spans="17:19" x14ac:dyDescent="0.2">
      <c r="Q90" s="67"/>
      <c r="R90" s="67"/>
      <c r="S90" s="67"/>
    </row>
    <row r="91" spans="17:19" x14ac:dyDescent="0.2">
      <c r="Q91" s="67"/>
      <c r="R91" s="67"/>
      <c r="S91" s="67"/>
    </row>
    <row r="92" spans="17:19" x14ac:dyDescent="0.2">
      <c r="Q92" s="67"/>
      <c r="R92" s="67"/>
      <c r="S92" s="67"/>
    </row>
    <row r="93" spans="17:19" x14ac:dyDescent="0.2">
      <c r="Q93" s="67"/>
      <c r="R93" s="67"/>
      <c r="S93" s="67"/>
    </row>
    <row r="94" spans="17:19" x14ac:dyDescent="0.2">
      <c r="Q94" s="67"/>
      <c r="R94" s="67"/>
      <c r="S94" s="67"/>
    </row>
    <row r="95" spans="17:19" x14ac:dyDescent="0.2">
      <c r="Q95" s="67"/>
      <c r="R95" s="67"/>
      <c r="S95" s="67"/>
    </row>
    <row r="96" spans="17:19" x14ac:dyDescent="0.2">
      <c r="Q96" s="67"/>
      <c r="R96" s="67"/>
      <c r="S96" s="67"/>
    </row>
    <row r="97" spans="17:19" x14ac:dyDescent="0.2">
      <c r="Q97" s="67"/>
      <c r="R97" s="67"/>
      <c r="S97" s="67"/>
    </row>
    <row r="98" spans="17:19" x14ac:dyDescent="0.2">
      <c r="Q98" s="67"/>
      <c r="R98" s="67"/>
      <c r="S98" s="67"/>
    </row>
    <row r="99" spans="17:19" x14ac:dyDescent="0.2">
      <c r="Q99" s="67"/>
      <c r="R99" s="67"/>
      <c r="S99" s="67"/>
    </row>
    <row r="100" spans="17:19" x14ac:dyDescent="0.2">
      <c r="Q100" s="67"/>
      <c r="R100" s="67"/>
      <c r="S100" s="67"/>
    </row>
    <row r="101" spans="17:19" x14ac:dyDescent="0.2">
      <c r="Q101" s="67"/>
      <c r="R101" s="67"/>
      <c r="S101" s="67"/>
    </row>
    <row r="102" spans="17:19" x14ac:dyDescent="0.2">
      <c r="Q102" s="67"/>
      <c r="R102" s="67"/>
      <c r="S102" s="67"/>
    </row>
    <row r="103" spans="17:19" x14ac:dyDescent="0.2">
      <c r="Q103" s="67"/>
      <c r="R103" s="67"/>
      <c r="S103" s="67"/>
    </row>
    <row r="104" spans="17:19" x14ac:dyDescent="0.2">
      <c r="Q104" s="67"/>
      <c r="R104" s="67"/>
      <c r="S104" s="67"/>
    </row>
    <row r="105" spans="17:19" x14ac:dyDescent="0.2">
      <c r="Q105" s="67"/>
      <c r="R105" s="67"/>
      <c r="S105" s="67"/>
    </row>
    <row r="106" spans="17:19" x14ac:dyDescent="0.2">
      <c r="Q106" s="67"/>
      <c r="R106" s="67"/>
      <c r="S106" s="67"/>
    </row>
    <row r="107" spans="17:19" x14ac:dyDescent="0.2">
      <c r="Q107" s="67"/>
      <c r="R107" s="67"/>
      <c r="S107" s="67"/>
    </row>
    <row r="108" spans="17:19" x14ac:dyDescent="0.2">
      <c r="Q108" s="67"/>
      <c r="R108" s="67"/>
      <c r="S108" s="67"/>
    </row>
    <row r="109" spans="17:19" x14ac:dyDescent="0.2">
      <c r="Q109" s="67"/>
      <c r="R109" s="67"/>
      <c r="S109" s="67"/>
    </row>
    <row r="110" spans="17:19" x14ac:dyDescent="0.2">
      <c r="Q110" s="67"/>
      <c r="R110" s="67"/>
      <c r="S110" s="67"/>
    </row>
    <row r="111" spans="17:19" x14ac:dyDescent="0.2">
      <c r="Q111" s="67"/>
      <c r="R111" s="67"/>
      <c r="S111" s="67"/>
    </row>
    <row r="112" spans="17:19" x14ac:dyDescent="0.2">
      <c r="Q112" s="67"/>
      <c r="R112" s="67"/>
      <c r="S112" s="67"/>
    </row>
    <row r="113" spans="17:19" x14ac:dyDescent="0.2">
      <c r="Q113" s="67"/>
      <c r="R113" s="67"/>
      <c r="S113" s="67"/>
    </row>
    <row r="114" spans="17:19" x14ac:dyDescent="0.2">
      <c r="Q114" s="67"/>
      <c r="R114" s="67"/>
      <c r="S114" s="67"/>
    </row>
    <row r="115" spans="17:19" x14ac:dyDescent="0.2">
      <c r="Q115" s="67"/>
      <c r="R115" s="67"/>
      <c r="S115" s="67"/>
    </row>
    <row r="116" spans="17:19" x14ac:dyDescent="0.2">
      <c r="Q116" s="67"/>
      <c r="R116" s="67"/>
      <c r="S116" s="67"/>
    </row>
    <row r="117" spans="17:19" x14ac:dyDescent="0.2">
      <c r="Q117" s="67"/>
      <c r="R117" s="67"/>
      <c r="S117" s="67"/>
    </row>
    <row r="118" spans="17:19" x14ac:dyDescent="0.2">
      <c r="Q118" s="67"/>
      <c r="R118" s="67"/>
      <c r="S118" s="67"/>
    </row>
    <row r="119" spans="17:19" x14ac:dyDescent="0.2">
      <c r="Q119" s="67"/>
      <c r="R119" s="67"/>
      <c r="S119" s="67"/>
    </row>
    <row r="120" spans="17:19" x14ac:dyDescent="0.2">
      <c r="Q120" s="67"/>
      <c r="R120" s="67"/>
      <c r="S120" s="67"/>
    </row>
    <row r="121" spans="17:19" x14ac:dyDescent="0.2">
      <c r="Q121" s="67"/>
      <c r="R121" s="67"/>
      <c r="S121" s="67"/>
    </row>
    <row r="122" spans="17:19" x14ac:dyDescent="0.2">
      <c r="Q122" s="67"/>
      <c r="R122" s="67"/>
      <c r="S122" s="67"/>
    </row>
    <row r="123" spans="17:19" x14ac:dyDescent="0.2">
      <c r="Q123" s="67"/>
      <c r="R123" s="67"/>
      <c r="S123" s="67"/>
    </row>
    <row r="124" spans="17:19" x14ac:dyDescent="0.2">
      <c r="Q124" s="67"/>
      <c r="R124" s="67"/>
      <c r="S124" s="67"/>
    </row>
    <row r="125" spans="17:19" x14ac:dyDescent="0.2">
      <c r="Q125" s="67"/>
      <c r="R125" s="67"/>
      <c r="S125" s="67"/>
    </row>
    <row r="126" spans="17:19" x14ac:dyDescent="0.2">
      <c r="Q126" s="67"/>
      <c r="R126" s="67"/>
      <c r="S126" s="67"/>
    </row>
    <row r="127" spans="17:19" x14ac:dyDescent="0.2">
      <c r="Q127" s="67"/>
      <c r="R127" s="67"/>
      <c r="S127" s="67"/>
    </row>
    <row r="128" spans="17:19" x14ac:dyDescent="0.2">
      <c r="Q128" s="67"/>
      <c r="R128" s="67"/>
      <c r="S128" s="67"/>
    </row>
    <row r="129" spans="17:19" x14ac:dyDescent="0.2">
      <c r="Q129" s="67"/>
      <c r="R129" s="67"/>
      <c r="S129" s="67"/>
    </row>
    <row r="130" spans="17:19" x14ac:dyDescent="0.2">
      <c r="Q130" s="67"/>
      <c r="R130" s="67"/>
      <c r="S130" s="67"/>
    </row>
    <row r="131" spans="17:19" x14ac:dyDescent="0.2">
      <c r="Q131" s="67"/>
      <c r="R131" s="67"/>
      <c r="S131" s="67"/>
    </row>
    <row r="132" spans="17:19" x14ac:dyDescent="0.2">
      <c r="Q132" s="67"/>
      <c r="R132" s="67"/>
      <c r="S132" s="67"/>
    </row>
    <row r="133" spans="17:19" x14ac:dyDescent="0.2">
      <c r="Q133" s="67"/>
      <c r="R133" s="67"/>
      <c r="S133" s="67"/>
    </row>
    <row r="134" spans="17:19" x14ac:dyDescent="0.2">
      <c r="Q134" s="67"/>
      <c r="R134" s="67"/>
      <c r="S134" s="67"/>
    </row>
    <row r="135" spans="17:19" x14ac:dyDescent="0.2">
      <c r="Q135" s="67"/>
      <c r="R135" s="67"/>
      <c r="S135" s="67"/>
    </row>
    <row r="136" spans="17:19" x14ac:dyDescent="0.2">
      <c r="Q136" s="67"/>
      <c r="R136" s="67"/>
      <c r="S136" s="67"/>
    </row>
    <row r="137" spans="17:19" x14ac:dyDescent="0.2">
      <c r="Q137" s="67"/>
      <c r="R137" s="67"/>
      <c r="S137" s="67"/>
    </row>
    <row r="138" spans="17:19" x14ac:dyDescent="0.2">
      <c r="Q138" s="67"/>
      <c r="R138" s="67"/>
      <c r="S138" s="67"/>
    </row>
    <row r="139" spans="17:19" x14ac:dyDescent="0.2">
      <c r="Q139" s="67"/>
      <c r="R139" s="67"/>
      <c r="S139" s="67"/>
    </row>
    <row r="140" spans="17:19" x14ac:dyDescent="0.2">
      <c r="Q140" s="67"/>
      <c r="R140" s="67"/>
      <c r="S140" s="67"/>
    </row>
    <row r="141" spans="17:19" x14ac:dyDescent="0.2">
      <c r="Q141" s="67"/>
      <c r="R141" s="67"/>
      <c r="S141" s="67"/>
    </row>
    <row r="142" spans="17:19" x14ac:dyDescent="0.2">
      <c r="Q142" s="67"/>
      <c r="R142" s="67"/>
      <c r="S142" s="67"/>
    </row>
    <row r="143" spans="17:19" x14ac:dyDescent="0.2">
      <c r="Q143" s="67"/>
      <c r="R143" s="67"/>
      <c r="S143" s="67"/>
    </row>
    <row r="144" spans="17:19" x14ac:dyDescent="0.2">
      <c r="Q144" s="67"/>
      <c r="R144" s="67"/>
      <c r="S144" s="67"/>
    </row>
    <row r="145" spans="17:19" x14ac:dyDescent="0.2">
      <c r="Q145" s="67"/>
      <c r="R145" s="67"/>
      <c r="S145" s="67"/>
    </row>
    <row r="146" spans="17:19" x14ac:dyDescent="0.2">
      <c r="Q146" s="67"/>
      <c r="R146" s="67"/>
      <c r="S146" s="67"/>
    </row>
    <row r="147" spans="17:19" x14ac:dyDescent="0.2">
      <c r="Q147" s="67"/>
      <c r="R147" s="67"/>
      <c r="S147" s="67"/>
    </row>
    <row r="148" spans="17:19" x14ac:dyDescent="0.2">
      <c r="Q148" s="67"/>
      <c r="R148" s="67"/>
      <c r="S148" s="67"/>
    </row>
    <row r="149" spans="17:19" x14ac:dyDescent="0.2">
      <c r="Q149" s="67"/>
      <c r="R149" s="67"/>
      <c r="S149" s="67"/>
    </row>
    <row r="150" spans="17:19" x14ac:dyDescent="0.2">
      <c r="Q150" s="67"/>
      <c r="R150" s="67"/>
      <c r="S150" s="67"/>
    </row>
    <row r="151" spans="17:19" x14ac:dyDescent="0.2">
      <c r="Q151" s="67"/>
      <c r="R151" s="67"/>
      <c r="S151" s="67"/>
    </row>
    <row r="152" spans="17:19" x14ac:dyDescent="0.2">
      <c r="Q152" s="67"/>
      <c r="R152" s="67"/>
      <c r="S152" s="67"/>
    </row>
    <row r="153" spans="17:19" x14ac:dyDescent="0.2">
      <c r="Q153" s="67"/>
      <c r="R153" s="67"/>
      <c r="S153" s="67"/>
    </row>
    <row r="154" spans="17:19" x14ac:dyDescent="0.2">
      <c r="Q154" s="67"/>
      <c r="R154" s="67"/>
      <c r="S154" s="67"/>
    </row>
    <row r="155" spans="17:19" x14ac:dyDescent="0.2">
      <c r="Q155" s="67"/>
      <c r="R155" s="67"/>
      <c r="S155" s="67"/>
    </row>
    <row r="156" spans="17:19" x14ac:dyDescent="0.2">
      <c r="Q156" s="67"/>
      <c r="R156" s="67"/>
      <c r="S156" s="67"/>
    </row>
    <row r="157" spans="17:19" x14ac:dyDescent="0.2">
      <c r="Q157" s="67"/>
      <c r="R157" s="67"/>
      <c r="S157" s="67"/>
    </row>
    <row r="158" spans="17:19" x14ac:dyDescent="0.2">
      <c r="Q158" s="67"/>
      <c r="R158" s="67"/>
      <c r="S158" s="67"/>
    </row>
    <row r="159" spans="17:19" x14ac:dyDescent="0.2">
      <c r="Q159" s="67"/>
      <c r="R159" s="67"/>
      <c r="S159" s="67"/>
    </row>
    <row r="160" spans="17:19" x14ac:dyDescent="0.2">
      <c r="Q160" s="67"/>
      <c r="R160" s="67"/>
      <c r="S160" s="67"/>
    </row>
    <row r="161" spans="17:19" x14ac:dyDescent="0.2">
      <c r="Q161" s="67"/>
      <c r="R161" s="67"/>
      <c r="S161" s="67"/>
    </row>
    <row r="162" spans="17:19" x14ac:dyDescent="0.2">
      <c r="Q162" s="67"/>
      <c r="R162" s="67"/>
      <c r="S162" s="67"/>
    </row>
    <row r="163" spans="17:19" x14ac:dyDescent="0.2">
      <c r="Q163" s="67"/>
      <c r="R163" s="67"/>
      <c r="S163" s="67"/>
    </row>
    <row r="164" spans="17:19" x14ac:dyDescent="0.2">
      <c r="Q164" s="67"/>
      <c r="R164" s="67"/>
      <c r="S164" s="67"/>
    </row>
    <row r="165" spans="17:19" x14ac:dyDescent="0.2">
      <c r="Q165" s="67"/>
      <c r="R165" s="67"/>
      <c r="S165" s="67"/>
    </row>
    <row r="166" spans="17:19" x14ac:dyDescent="0.2">
      <c r="Q166" s="67"/>
      <c r="R166" s="67"/>
      <c r="S166" s="67"/>
    </row>
    <row r="167" spans="17:19" x14ac:dyDescent="0.2">
      <c r="Q167" s="67"/>
      <c r="R167" s="67"/>
      <c r="S167" s="67"/>
    </row>
    <row r="168" spans="17:19" x14ac:dyDescent="0.2">
      <c r="Q168" s="67"/>
      <c r="R168" s="67"/>
      <c r="S168" s="67"/>
    </row>
    <row r="169" spans="17:19" x14ac:dyDescent="0.2">
      <c r="Q169" s="67"/>
      <c r="R169" s="67"/>
      <c r="S169" s="67"/>
    </row>
    <row r="170" spans="17:19" x14ac:dyDescent="0.2">
      <c r="Q170" s="67"/>
      <c r="R170" s="67"/>
      <c r="S170" s="67"/>
    </row>
    <row r="171" spans="17:19" x14ac:dyDescent="0.2">
      <c r="Q171" s="67"/>
      <c r="R171" s="67"/>
      <c r="S171" s="67"/>
    </row>
    <row r="172" spans="17:19" x14ac:dyDescent="0.2">
      <c r="Q172" s="67"/>
      <c r="R172" s="67"/>
      <c r="S172" s="67"/>
    </row>
    <row r="173" spans="17:19" x14ac:dyDescent="0.2">
      <c r="Q173" s="67"/>
      <c r="R173" s="67"/>
      <c r="S173" s="67"/>
    </row>
    <row r="174" spans="17:19" x14ac:dyDescent="0.2">
      <c r="Q174" s="67"/>
      <c r="R174" s="67"/>
      <c r="S174" s="67"/>
    </row>
    <row r="175" spans="17:19" x14ac:dyDescent="0.2">
      <c r="Q175" s="67"/>
      <c r="R175" s="67"/>
      <c r="S175" s="67"/>
    </row>
    <row r="176" spans="17:19" x14ac:dyDescent="0.2">
      <c r="Q176" s="67"/>
      <c r="R176" s="67"/>
      <c r="S176" s="67"/>
    </row>
    <row r="177" spans="17:19" x14ac:dyDescent="0.2">
      <c r="Q177" s="67"/>
      <c r="R177" s="67"/>
      <c r="S177" s="67"/>
    </row>
    <row r="178" spans="17:19" x14ac:dyDescent="0.2">
      <c r="Q178" s="67"/>
      <c r="R178" s="67"/>
      <c r="S178" s="67"/>
    </row>
    <row r="179" spans="17:19" x14ac:dyDescent="0.2">
      <c r="Q179" s="67"/>
      <c r="R179" s="67"/>
      <c r="S179" s="67"/>
    </row>
    <row r="180" spans="17:19" x14ac:dyDescent="0.2">
      <c r="Q180" s="67"/>
      <c r="R180" s="67"/>
      <c r="S180" s="67"/>
    </row>
    <row r="181" spans="17:19" x14ac:dyDescent="0.2">
      <c r="Q181" s="67"/>
      <c r="R181" s="67"/>
      <c r="S181" s="67"/>
    </row>
    <row r="182" spans="17:19" x14ac:dyDescent="0.2">
      <c r="Q182" s="67"/>
      <c r="R182" s="67"/>
      <c r="S182" s="67"/>
    </row>
    <row r="183" spans="17:19" x14ac:dyDescent="0.2">
      <c r="Q183" s="67"/>
      <c r="R183" s="67"/>
      <c r="S183" s="67"/>
    </row>
    <row r="184" spans="17:19" x14ac:dyDescent="0.2">
      <c r="Q184" s="67"/>
      <c r="R184" s="67"/>
      <c r="S184" s="67"/>
    </row>
    <row r="185" spans="17:19" x14ac:dyDescent="0.2">
      <c r="Q185" s="67"/>
      <c r="R185" s="67"/>
      <c r="S185" s="67"/>
    </row>
    <row r="186" spans="17:19" x14ac:dyDescent="0.2">
      <c r="Q186" s="67"/>
      <c r="R186" s="67"/>
      <c r="S186" s="67"/>
    </row>
    <row r="187" spans="17:19" x14ac:dyDescent="0.2">
      <c r="Q187" s="67"/>
      <c r="R187" s="67"/>
      <c r="S187" s="67"/>
    </row>
    <row r="188" spans="17:19" x14ac:dyDescent="0.2">
      <c r="Q188" s="67"/>
      <c r="R188" s="67"/>
      <c r="S188" s="67"/>
    </row>
    <row r="189" spans="17:19" x14ac:dyDescent="0.2">
      <c r="Q189" s="67"/>
      <c r="R189" s="67"/>
      <c r="S189" s="67"/>
    </row>
    <row r="190" spans="17:19" x14ac:dyDescent="0.2">
      <c r="Q190" s="67"/>
      <c r="R190" s="67"/>
      <c r="S190" s="67"/>
    </row>
    <row r="191" spans="17:19" x14ac:dyDescent="0.2">
      <c r="Q191" s="67"/>
      <c r="R191" s="67"/>
      <c r="S191" s="67"/>
    </row>
    <row r="192" spans="17:19" x14ac:dyDescent="0.2">
      <c r="Q192" s="67"/>
      <c r="R192" s="67"/>
      <c r="S192" s="67"/>
    </row>
    <row r="193" spans="17:19" x14ac:dyDescent="0.2">
      <c r="Q193" s="67"/>
      <c r="R193" s="67"/>
      <c r="S193" s="67"/>
    </row>
    <row r="194" spans="17:19" x14ac:dyDescent="0.2">
      <c r="Q194" s="67"/>
      <c r="R194" s="67"/>
      <c r="S194" s="67"/>
    </row>
    <row r="195" spans="17:19" x14ac:dyDescent="0.2">
      <c r="Q195" s="67"/>
      <c r="R195" s="67"/>
      <c r="S195" s="67"/>
    </row>
    <row r="196" spans="17:19" x14ac:dyDescent="0.2">
      <c r="Q196" s="67"/>
      <c r="R196" s="67"/>
      <c r="S196" s="67"/>
    </row>
    <row r="197" spans="17:19" x14ac:dyDescent="0.2">
      <c r="Q197" s="67"/>
      <c r="R197" s="67"/>
      <c r="S197" s="67"/>
    </row>
    <row r="198" spans="17:19" x14ac:dyDescent="0.2">
      <c r="Q198" s="67"/>
      <c r="R198" s="67"/>
      <c r="S198" s="67"/>
    </row>
    <row r="199" spans="17:19" x14ac:dyDescent="0.2">
      <c r="Q199" s="67"/>
      <c r="R199" s="67"/>
      <c r="S199" s="67"/>
    </row>
    <row r="200" spans="17:19" x14ac:dyDescent="0.2">
      <c r="Q200" s="67"/>
      <c r="R200" s="67"/>
      <c r="S200" s="67"/>
    </row>
    <row r="201" spans="17:19" x14ac:dyDescent="0.2">
      <c r="Q201" s="67"/>
      <c r="R201" s="67"/>
      <c r="S201" s="67"/>
    </row>
    <row r="202" spans="17:19" x14ac:dyDescent="0.2">
      <c r="Q202" s="67"/>
      <c r="R202" s="67"/>
      <c r="S202" s="67"/>
    </row>
    <row r="203" spans="17:19" x14ac:dyDescent="0.2">
      <c r="Q203" s="67"/>
      <c r="R203" s="67"/>
      <c r="S203" s="67"/>
    </row>
    <row r="204" spans="17:19" x14ac:dyDescent="0.2">
      <c r="Q204" s="67"/>
      <c r="R204" s="67"/>
      <c r="S204" s="67"/>
    </row>
    <row r="205" spans="17:19" x14ac:dyDescent="0.2">
      <c r="Q205" s="67"/>
      <c r="R205" s="67"/>
      <c r="S205" s="67"/>
    </row>
    <row r="206" spans="17:19" x14ac:dyDescent="0.2">
      <c r="Q206" s="67"/>
      <c r="R206" s="67"/>
      <c r="S206" s="67"/>
    </row>
    <row r="207" spans="17:19" x14ac:dyDescent="0.2">
      <c r="Q207" s="67"/>
      <c r="R207" s="67"/>
      <c r="S207" s="67"/>
    </row>
    <row r="208" spans="17:19" x14ac:dyDescent="0.2">
      <c r="Q208" s="67"/>
      <c r="R208" s="67"/>
      <c r="S208" s="67"/>
    </row>
    <row r="209" spans="17:19" x14ac:dyDescent="0.2">
      <c r="Q209" s="67"/>
      <c r="R209" s="67"/>
      <c r="S209" s="67"/>
    </row>
    <row r="210" spans="17:19" x14ac:dyDescent="0.2">
      <c r="Q210" s="67"/>
      <c r="R210" s="67"/>
      <c r="S210" s="67"/>
    </row>
    <row r="211" spans="17:19" x14ac:dyDescent="0.2">
      <c r="Q211" s="67"/>
      <c r="R211" s="67"/>
      <c r="S211" s="67"/>
    </row>
    <row r="212" spans="17:19" x14ac:dyDescent="0.2">
      <c r="Q212" s="67"/>
      <c r="R212" s="67"/>
      <c r="S212" s="67"/>
    </row>
    <row r="213" spans="17:19" x14ac:dyDescent="0.2">
      <c r="Q213" s="67"/>
      <c r="R213" s="67"/>
      <c r="S213" s="67"/>
    </row>
    <row r="214" spans="17:19" x14ac:dyDescent="0.2">
      <c r="Q214" s="67"/>
      <c r="R214" s="67"/>
      <c r="S214" s="67"/>
    </row>
    <row r="215" spans="17:19" x14ac:dyDescent="0.2">
      <c r="Q215" s="67"/>
      <c r="R215" s="67"/>
      <c r="S215" s="67"/>
    </row>
    <row r="216" spans="17:19" x14ac:dyDescent="0.2">
      <c r="Q216" s="67"/>
      <c r="R216" s="67"/>
      <c r="S216" s="67"/>
    </row>
    <row r="217" spans="17:19" x14ac:dyDescent="0.2">
      <c r="Q217" s="67"/>
      <c r="R217" s="67"/>
      <c r="S217" s="67"/>
    </row>
    <row r="218" spans="17:19" x14ac:dyDescent="0.2">
      <c r="Q218" s="67"/>
      <c r="R218" s="67"/>
      <c r="S218" s="67"/>
    </row>
    <row r="219" spans="17:19" x14ac:dyDescent="0.2">
      <c r="Q219" s="67"/>
      <c r="R219" s="67"/>
      <c r="S219" s="67"/>
    </row>
    <row r="220" spans="17:19" x14ac:dyDescent="0.2">
      <c r="Q220" s="67"/>
      <c r="R220" s="67"/>
      <c r="S220" s="67"/>
    </row>
    <row r="221" spans="17:19" x14ac:dyDescent="0.2">
      <c r="Q221" s="67"/>
      <c r="R221" s="67"/>
      <c r="S221" s="67"/>
    </row>
    <row r="222" spans="17:19" x14ac:dyDescent="0.2">
      <c r="Q222" s="67"/>
      <c r="R222" s="67"/>
      <c r="S222" s="67"/>
    </row>
    <row r="223" spans="17:19" x14ac:dyDescent="0.2">
      <c r="Q223" s="67"/>
      <c r="R223" s="67"/>
      <c r="S223" s="67"/>
    </row>
    <row r="224" spans="17:19" x14ac:dyDescent="0.2">
      <c r="Q224" s="67"/>
      <c r="R224" s="67"/>
      <c r="S224" s="67"/>
    </row>
    <row r="225" spans="17:19" x14ac:dyDescent="0.2">
      <c r="Q225" s="67"/>
      <c r="R225" s="67"/>
      <c r="S225" s="67"/>
    </row>
    <row r="226" spans="17:19" x14ac:dyDescent="0.2">
      <c r="Q226" s="67"/>
      <c r="R226" s="67"/>
      <c r="S226" s="67"/>
    </row>
    <row r="227" spans="17:19" x14ac:dyDescent="0.2">
      <c r="Q227" s="67"/>
      <c r="R227" s="67"/>
      <c r="S227" s="67"/>
    </row>
    <row r="228" spans="17:19" x14ac:dyDescent="0.2">
      <c r="Q228" s="67"/>
      <c r="R228" s="67"/>
      <c r="S228" s="67"/>
    </row>
    <row r="229" spans="17:19" x14ac:dyDescent="0.2">
      <c r="Q229" s="67"/>
      <c r="R229" s="67"/>
      <c r="S229" s="67"/>
    </row>
    <row r="230" spans="17:19" x14ac:dyDescent="0.2">
      <c r="Q230" s="67"/>
      <c r="R230" s="67"/>
      <c r="S230" s="67"/>
    </row>
    <row r="231" spans="17:19" x14ac:dyDescent="0.2">
      <c r="Q231" s="67"/>
      <c r="R231" s="67"/>
      <c r="S231" s="67"/>
    </row>
    <row r="232" spans="17:19" x14ac:dyDescent="0.2">
      <c r="Q232" s="67"/>
      <c r="R232" s="67"/>
      <c r="S232" s="67"/>
    </row>
    <row r="233" spans="17:19" x14ac:dyDescent="0.2">
      <c r="Q233" s="67"/>
      <c r="R233" s="67"/>
      <c r="S233" s="67"/>
    </row>
    <row r="234" spans="17:19" x14ac:dyDescent="0.2">
      <c r="Q234" s="67"/>
      <c r="R234" s="67"/>
      <c r="S234" s="67"/>
    </row>
    <row r="235" spans="17:19" x14ac:dyDescent="0.2">
      <c r="Q235" s="67"/>
      <c r="R235" s="67"/>
      <c r="S235" s="67"/>
    </row>
    <row r="236" spans="17:19" x14ac:dyDescent="0.2">
      <c r="Q236" s="67"/>
      <c r="R236" s="67"/>
      <c r="S236" s="67"/>
    </row>
    <row r="237" spans="17:19" x14ac:dyDescent="0.2">
      <c r="Q237" s="67"/>
      <c r="R237" s="67"/>
      <c r="S237" s="67"/>
    </row>
    <row r="238" spans="17:19" x14ac:dyDescent="0.2">
      <c r="Q238" s="67"/>
      <c r="R238" s="67"/>
      <c r="S238" s="67"/>
    </row>
    <row r="239" spans="17:19" x14ac:dyDescent="0.2">
      <c r="Q239" s="67"/>
      <c r="R239" s="67"/>
      <c r="S239" s="67"/>
    </row>
    <row r="240" spans="17:19" x14ac:dyDescent="0.2">
      <c r="Q240" s="67"/>
      <c r="R240" s="67"/>
      <c r="S240" s="67"/>
    </row>
    <row r="241" spans="17:19" x14ac:dyDescent="0.2">
      <c r="Q241" s="67"/>
      <c r="R241" s="67"/>
      <c r="S241" s="67"/>
    </row>
    <row r="242" spans="17:19" x14ac:dyDescent="0.2">
      <c r="Q242" s="67"/>
      <c r="R242" s="67"/>
      <c r="S242" s="67"/>
    </row>
    <row r="243" spans="17:19" x14ac:dyDescent="0.2">
      <c r="Q243" s="67"/>
      <c r="R243" s="67"/>
      <c r="S243" s="67"/>
    </row>
    <row r="244" spans="17:19" x14ac:dyDescent="0.2">
      <c r="Q244" s="67"/>
      <c r="R244" s="67"/>
      <c r="S244" s="67"/>
    </row>
    <row r="245" spans="17:19" x14ac:dyDescent="0.2">
      <c r="Q245" s="67"/>
      <c r="R245" s="67"/>
      <c r="S245" s="67"/>
    </row>
    <row r="246" spans="17:19" x14ac:dyDescent="0.2">
      <c r="Q246" s="67"/>
      <c r="R246" s="67"/>
      <c r="S246" s="67"/>
    </row>
    <row r="247" spans="17:19" x14ac:dyDescent="0.2">
      <c r="Q247" s="67"/>
      <c r="R247" s="67"/>
      <c r="S247" s="67"/>
    </row>
    <row r="248" spans="17:19" x14ac:dyDescent="0.2">
      <c r="Q248" s="67"/>
      <c r="R248" s="67"/>
      <c r="S248" s="67"/>
    </row>
    <row r="249" spans="17:19" x14ac:dyDescent="0.2">
      <c r="Q249" s="67"/>
      <c r="R249" s="67"/>
      <c r="S249" s="67"/>
    </row>
    <row r="250" spans="17:19" x14ac:dyDescent="0.2">
      <c r="Q250" s="67"/>
      <c r="R250" s="67"/>
      <c r="S250" s="67"/>
    </row>
    <row r="251" spans="17:19" x14ac:dyDescent="0.2">
      <c r="Q251" s="67"/>
      <c r="R251" s="67"/>
      <c r="S251" s="67"/>
    </row>
    <row r="252" spans="17:19" x14ac:dyDescent="0.2">
      <c r="Q252" s="67"/>
      <c r="R252" s="67"/>
      <c r="S252" s="67"/>
    </row>
    <row r="253" spans="17:19" x14ac:dyDescent="0.2">
      <c r="Q253" s="67"/>
      <c r="R253" s="67"/>
      <c r="S253" s="67"/>
    </row>
    <row r="254" spans="17:19" x14ac:dyDescent="0.2">
      <c r="Q254" s="67"/>
      <c r="R254" s="67"/>
      <c r="S254" s="67"/>
    </row>
    <row r="255" spans="17:19" x14ac:dyDescent="0.2">
      <c r="Q255" s="67"/>
      <c r="R255" s="67"/>
      <c r="S255" s="67"/>
    </row>
    <row r="256" spans="17:19" x14ac:dyDescent="0.2">
      <c r="Q256" s="67"/>
      <c r="R256" s="67"/>
      <c r="S256" s="67"/>
    </row>
    <row r="257" spans="17:19" x14ac:dyDescent="0.2">
      <c r="Q257" s="67"/>
      <c r="R257" s="67"/>
      <c r="S257" s="67"/>
    </row>
    <row r="258" spans="17:19" x14ac:dyDescent="0.2">
      <c r="Q258" s="67"/>
      <c r="R258" s="67"/>
      <c r="S258" s="67"/>
    </row>
    <row r="259" spans="17:19" x14ac:dyDescent="0.2">
      <c r="Q259" s="67"/>
      <c r="R259" s="67"/>
      <c r="S259" s="67"/>
    </row>
    <row r="260" spans="17:19" x14ac:dyDescent="0.2">
      <c r="Q260" s="67"/>
      <c r="R260" s="67"/>
      <c r="S260" s="67"/>
    </row>
    <row r="261" spans="17:19" x14ac:dyDescent="0.2">
      <c r="Q261" s="67"/>
      <c r="R261" s="67"/>
      <c r="S261" s="67"/>
    </row>
    <row r="262" spans="17:19" x14ac:dyDescent="0.2">
      <c r="Q262" s="67"/>
      <c r="R262" s="67"/>
      <c r="S262" s="67"/>
    </row>
    <row r="263" spans="17:19" x14ac:dyDescent="0.2">
      <c r="Q263" s="67"/>
      <c r="R263" s="67"/>
      <c r="S263" s="67"/>
    </row>
    <row r="264" spans="17:19" x14ac:dyDescent="0.2">
      <c r="Q264" s="67"/>
      <c r="R264" s="67"/>
      <c r="S264" s="67"/>
    </row>
    <row r="265" spans="17:19" x14ac:dyDescent="0.2">
      <c r="Q265" s="67"/>
      <c r="R265" s="67"/>
      <c r="S265" s="67"/>
    </row>
    <row r="266" spans="17:19" x14ac:dyDescent="0.2">
      <c r="Q266" s="67"/>
      <c r="R266" s="67"/>
      <c r="S266" s="67"/>
    </row>
    <row r="267" spans="17:19" x14ac:dyDescent="0.2">
      <c r="Q267" s="67"/>
      <c r="R267" s="67"/>
      <c r="S267" s="67"/>
    </row>
    <row r="268" spans="17:19" x14ac:dyDescent="0.2">
      <c r="Q268" s="67"/>
      <c r="R268" s="67"/>
      <c r="S268" s="67"/>
    </row>
    <row r="269" spans="17:19" x14ac:dyDescent="0.2">
      <c r="Q269" s="67"/>
      <c r="R269" s="67"/>
      <c r="S269" s="67"/>
    </row>
    <row r="270" spans="17:19" x14ac:dyDescent="0.2">
      <c r="Q270" s="67"/>
      <c r="R270" s="67"/>
      <c r="S270" s="67"/>
    </row>
    <row r="271" spans="17:19" x14ac:dyDescent="0.2">
      <c r="Q271" s="67"/>
      <c r="R271" s="67"/>
      <c r="S271" s="67"/>
    </row>
    <row r="272" spans="17:19" x14ac:dyDescent="0.2">
      <c r="Q272" s="67"/>
      <c r="R272" s="67"/>
      <c r="S272" s="67"/>
    </row>
    <row r="273" spans="17:19" x14ac:dyDescent="0.2">
      <c r="Q273" s="67"/>
      <c r="R273" s="67"/>
      <c r="S273" s="67"/>
    </row>
    <row r="274" spans="17:19" x14ac:dyDescent="0.2">
      <c r="Q274" s="67"/>
      <c r="R274" s="67"/>
      <c r="S274" s="67"/>
    </row>
    <row r="275" spans="17:19" x14ac:dyDescent="0.2">
      <c r="Q275" s="67"/>
      <c r="R275" s="67"/>
      <c r="S275" s="67"/>
    </row>
    <row r="276" spans="17:19" x14ac:dyDescent="0.2">
      <c r="Q276" s="67"/>
      <c r="R276" s="67"/>
      <c r="S276" s="67"/>
    </row>
    <row r="277" spans="17:19" x14ac:dyDescent="0.2">
      <c r="Q277" s="67"/>
      <c r="R277" s="67"/>
      <c r="S277" s="67"/>
    </row>
    <row r="278" spans="17:19" x14ac:dyDescent="0.2">
      <c r="Q278" s="67"/>
      <c r="R278" s="67"/>
      <c r="S278" s="67"/>
    </row>
    <row r="279" spans="17:19" x14ac:dyDescent="0.2">
      <c r="Q279" s="67"/>
      <c r="R279" s="67"/>
      <c r="S279" s="67"/>
    </row>
    <row r="280" spans="17:19" x14ac:dyDescent="0.2">
      <c r="Q280" s="67"/>
      <c r="R280" s="67"/>
      <c r="S280" s="67"/>
    </row>
    <row r="281" spans="17:19" x14ac:dyDescent="0.2">
      <c r="Q281" s="67"/>
      <c r="R281" s="67"/>
      <c r="S281" s="67"/>
    </row>
    <row r="282" spans="17:19" x14ac:dyDescent="0.2">
      <c r="Q282" s="67"/>
      <c r="R282" s="67"/>
      <c r="S282" s="67"/>
    </row>
    <row r="283" spans="17:19" x14ac:dyDescent="0.2">
      <c r="Q283" s="67"/>
      <c r="R283" s="67"/>
      <c r="S283" s="67"/>
    </row>
    <row r="284" spans="17:19" x14ac:dyDescent="0.2">
      <c r="Q284" s="67"/>
      <c r="R284" s="67"/>
      <c r="S284" s="67"/>
    </row>
    <row r="285" spans="17:19" x14ac:dyDescent="0.2">
      <c r="Q285" s="67"/>
      <c r="R285" s="67"/>
      <c r="S285" s="67"/>
    </row>
    <row r="286" spans="17:19" x14ac:dyDescent="0.2">
      <c r="Q286" s="67"/>
      <c r="R286" s="67"/>
      <c r="S286" s="67"/>
    </row>
    <row r="287" spans="17:19" x14ac:dyDescent="0.2">
      <c r="Q287" s="67"/>
      <c r="R287" s="67"/>
      <c r="S287" s="67"/>
    </row>
    <row r="288" spans="17:19" x14ac:dyDescent="0.2">
      <c r="Q288" s="67"/>
      <c r="R288" s="67"/>
      <c r="S288" s="67"/>
    </row>
    <row r="289" spans="17:19" x14ac:dyDescent="0.2">
      <c r="Q289" s="67"/>
      <c r="R289" s="67"/>
      <c r="S289" s="67"/>
    </row>
    <row r="290" spans="17:19" x14ac:dyDescent="0.2">
      <c r="Q290" s="67"/>
      <c r="R290" s="67"/>
      <c r="S290" s="67"/>
    </row>
    <row r="291" spans="17:19" x14ac:dyDescent="0.2">
      <c r="Q291" s="67"/>
      <c r="R291" s="67"/>
      <c r="S291" s="67"/>
    </row>
    <row r="292" spans="17:19" x14ac:dyDescent="0.2">
      <c r="Q292" s="67"/>
      <c r="R292" s="67"/>
      <c r="S292" s="67"/>
    </row>
    <row r="293" spans="17:19" x14ac:dyDescent="0.2">
      <c r="Q293" s="67"/>
      <c r="R293" s="67"/>
      <c r="S293" s="67"/>
    </row>
    <row r="294" spans="17:19" x14ac:dyDescent="0.2">
      <c r="Q294" s="67"/>
      <c r="R294" s="67"/>
      <c r="S294" s="67"/>
    </row>
    <row r="295" spans="17:19" x14ac:dyDescent="0.2">
      <c r="Q295" s="67"/>
      <c r="R295" s="67"/>
      <c r="S295" s="67"/>
    </row>
    <row r="296" spans="17:19" x14ac:dyDescent="0.2">
      <c r="Q296" s="67"/>
      <c r="R296" s="67"/>
      <c r="S296" s="67"/>
    </row>
    <row r="297" spans="17:19" x14ac:dyDescent="0.2">
      <c r="Q297" s="67"/>
      <c r="R297" s="67"/>
      <c r="S297" s="67"/>
    </row>
    <row r="298" spans="17:19" x14ac:dyDescent="0.2">
      <c r="Q298" s="67"/>
      <c r="R298" s="67"/>
      <c r="S298" s="67"/>
    </row>
    <row r="299" spans="17:19" x14ac:dyDescent="0.2">
      <c r="Q299" s="67"/>
      <c r="R299" s="67"/>
      <c r="S299" s="67"/>
    </row>
    <row r="300" spans="17:19" x14ac:dyDescent="0.2">
      <c r="Q300" s="67"/>
      <c r="R300" s="67"/>
      <c r="S300" s="67"/>
    </row>
    <row r="301" spans="17:19" x14ac:dyDescent="0.2">
      <c r="Q301" s="67"/>
      <c r="R301" s="67"/>
      <c r="S301" s="67"/>
    </row>
    <row r="302" spans="17:19" x14ac:dyDescent="0.2">
      <c r="Q302" s="67"/>
      <c r="R302" s="67"/>
      <c r="S302" s="67"/>
    </row>
    <row r="303" spans="17:19" x14ac:dyDescent="0.2">
      <c r="Q303" s="67"/>
      <c r="R303" s="67"/>
      <c r="S303" s="67"/>
    </row>
    <row r="304" spans="17:19" x14ac:dyDescent="0.2">
      <c r="Q304" s="67"/>
      <c r="R304" s="67"/>
      <c r="S304" s="67"/>
    </row>
    <row r="305" spans="17:19" x14ac:dyDescent="0.2">
      <c r="Q305" s="67"/>
      <c r="R305" s="67"/>
      <c r="S305" s="67"/>
    </row>
    <row r="306" spans="17:19" x14ac:dyDescent="0.2">
      <c r="Q306" s="67"/>
      <c r="R306" s="67"/>
      <c r="S306" s="67"/>
    </row>
    <row r="307" spans="17:19" x14ac:dyDescent="0.2">
      <c r="Q307" s="67"/>
      <c r="R307" s="67"/>
      <c r="S307" s="67"/>
    </row>
    <row r="308" spans="17:19" x14ac:dyDescent="0.2">
      <c r="Q308" s="67"/>
      <c r="R308" s="67"/>
      <c r="S308" s="67"/>
    </row>
    <row r="309" spans="17:19" x14ac:dyDescent="0.2">
      <c r="Q309" s="67"/>
      <c r="R309" s="67"/>
      <c r="S309" s="67"/>
    </row>
    <row r="310" spans="17:19" x14ac:dyDescent="0.2">
      <c r="Q310" s="67"/>
      <c r="R310" s="67"/>
      <c r="S310" s="67"/>
    </row>
    <row r="311" spans="17:19" x14ac:dyDescent="0.2">
      <c r="Q311" s="67"/>
      <c r="R311" s="67"/>
      <c r="S311" s="67"/>
    </row>
    <row r="312" spans="17:19" x14ac:dyDescent="0.2">
      <c r="Q312" s="67"/>
      <c r="R312" s="67"/>
      <c r="S312" s="67"/>
    </row>
    <row r="313" spans="17:19" x14ac:dyDescent="0.2">
      <c r="Q313" s="67"/>
      <c r="R313" s="67"/>
      <c r="S313" s="67"/>
    </row>
    <row r="314" spans="17:19" x14ac:dyDescent="0.2">
      <c r="Q314" s="67"/>
      <c r="R314" s="67"/>
      <c r="S314" s="67"/>
    </row>
    <row r="315" spans="17:19" x14ac:dyDescent="0.2">
      <c r="Q315" s="67"/>
      <c r="R315" s="67"/>
      <c r="S315" s="67"/>
    </row>
    <row r="316" spans="17:19" x14ac:dyDescent="0.2">
      <c r="Q316" s="67"/>
      <c r="R316" s="67"/>
      <c r="S316" s="67"/>
    </row>
    <row r="317" spans="17:19" x14ac:dyDescent="0.2">
      <c r="Q317" s="67"/>
      <c r="R317" s="67"/>
      <c r="S317" s="67"/>
    </row>
    <row r="318" spans="17:19" x14ac:dyDescent="0.2">
      <c r="Q318" s="67"/>
      <c r="R318" s="67"/>
      <c r="S318" s="67"/>
    </row>
    <row r="319" spans="17:19" x14ac:dyDescent="0.2">
      <c r="Q319" s="67"/>
      <c r="R319" s="67"/>
      <c r="S319" s="67"/>
    </row>
    <row r="320" spans="17:19" x14ac:dyDescent="0.2">
      <c r="Q320" s="67"/>
      <c r="R320" s="67"/>
      <c r="S320" s="67"/>
    </row>
    <row r="321" spans="17:19" x14ac:dyDescent="0.2">
      <c r="Q321" s="67"/>
      <c r="R321" s="67"/>
      <c r="S321" s="67"/>
    </row>
    <row r="322" spans="17:19" x14ac:dyDescent="0.2">
      <c r="Q322" s="67"/>
      <c r="R322" s="67"/>
      <c r="S322" s="67"/>
    </row>
    <row r="323" spans="17:19" x14ac:dyDescent="0.2">
      <c r="Q323" s="67"/>
      <c r="R323" s="67"/>
      <c r="S323" s="67"/>
    </row>
    <row r="324" spans="17:19" x14ac:dyDescent="0.2">
      <c r="Q324" s="67"/>
      <c r="R324" s="67"/>
      <c r="S324" s="67"/>
    </row>
    <row r="325" spans="17:19" x14ac:dyDescent="0.2">
      <c r="Q325" s="67"/>
      <c r="R325" s="67"/>
      <c r="S325" s="67"/>
    </row>
    <row r="326" spans="17:19" x14ac:dyDescent="0.2">
      <c r="Q326" s="67"/>
      <c r="R326" s="67"/>
      <c r="S326" s="67"/>
    </row>
    <row r="327" spans="17:19" x14ac:dyDescent="0.2">
      <c r="Q327" s="67"/>
      <c r="R327" s="67"/>
      <c r="S327" s="67"/>
    </row>
    <row r="328" spans="17:19" x14ac:dyDescent="0.2">
      <c r="Q328" s="67"/>
      <c r="R328" s="67"/>
      <c r="S328" s="67"/>
    </row>
    <row r="329" spans="17:19" x14ac:dyDescent="0.2">
      <c r="Q329" s="67"/>
      <c r="R329" s="67"/>
      <c r="S329" s="67"/>
    </row>
    <row r="330" spans="17:19" x14ac:dyDescent="0.2">
      <c r="Q330" s="67"/>
      <c r="R330" s="67"/>
      <c r="S330" s="67"/>
    </row>
    <row r="331" spans="17:19" x14ac:dyDescent="0.2">
      <c r="Q331" s="67"/>
      <c r="R331" s="67"/>
      <c r="S331" s="67"/>
    </row>
    <row r="332" spans="17:19" x14ac:dyDescent="0.2">
      <c r="Q332" s="67"/>
      <c r="R332" s="67"/>
      <c r="S332" s="67"/>
    </row>
    <row r="333" spans="17:19" x14ac:dyDescent="0.2">
      <c r="Q333" s="67"/>
      <c r="R333" s="67"/>
      <c r="S333" s="67"/>
    </row>
    <row r="334" spans="17:19" x14ac:dyDescent="0.2">
      <c r="Q334" s="67"/>
      <c r="R334" s="67"/>
      <c r="S334" s="67"/>
    </row>
    <row r="335" spans="17:19" x14ac:dyDescent="0.2">
      <c r="Q335" s="67"/>
      <c r="R335" s="67"/>
      <c r="S335" s="67"/>
    </row>
    <row r="336" spans="17:19" x14ac:dyDescent="0.2">
      <c r="Q336" s="67"/>
      <c r="R336" s="67"/>
      <c r="S336" s="67"/>
    </row>
    <row r="337" spans="17:19" x14ac:dyDescent="0.2">
      <c r="Q337" s="67"/>
      <c r="R337" s="67"/>
      <c r="S337" s="67"/>
    </row>
    <row r="338" spans="17:19" x14ac:dyDescent="0.2">
      <c r="Q338" s="67"/>
      <c r="R338" s="67"/>
      <c r="S338" s="67"/>
    </row>
    <row r="339" spans="17:19" x14ac:dyDescent="0.2">
      <c r="Q339" s="67"/>
      <c r="R339" s="67"/>
      <c r="S339" s="67"/>
    </row>
    <row r="340" spans="17:19" x14ac:dyDescent="0.2">
      <c r="Q340" s="67"/>
      <c r="R340" s="67"/>
      <c r="S340" s="67"/>
    </row>
    <row r="341" spans="17:19" x14ac:dyDescent="0.2">
      <c r="Q341" s="67"/>
      <c r="R341" s="67"/>
      <c r="S341" s="67"/>
    </row>
    <row r="342" spans="17:19" x14ac:dyDescent="0.2">
      <c r="Q342" s="67"/>
      <c r="R342" s="67"/>
      <c r="S342" s="67"/>
    </row>
    <row r="343" spans="17:19" x14ac:dyDescent="0.2">
      <c r="Q343" s="67"/>
      <c r="R343" s="67"/>
      <c r="S343" s="67"/>
    </row>
    <row r="344" spans="17:19" x14ac:dyDescent="0.2">
      <c r="Q344" s="67"/>
      <c r="R344" s="67"/>
      <c r="S344" s="67"/>
    </row>
    <row r="345" spans="17:19" x14ac:dyDescent="0.2">
      <c r="Q345" s="67"/>
      <c r="R345" s="67"/>
      <c r="S345" s="67"/>
    </row>
    <row r="346" spans="17:19" x14ac:dyDescent="0.2">
      <c r="Q346" s="67"/>
      <c r="R346" s="67"/>
      <c r="S346" s="67"/>
    </row>
    <row r="347" spans="17:19" x14ac:dyDescent="0.2">
      <c r="Q347" s="67"/>
      <c r="R347" s="67"/>
      <c r="S347" s="67"/>
    </row>
    <row r="348" spans="17:19" x14ac:dyDescent="0.2">
      <c r="Q348" s="67"/>
      <c r="R348" s="67"/>
      <c r="S348" s="67"/>
    </row>
    <row r="349" spans="17:19" x14ac:dyDescent="0.2">
      <c r="Q349" s="67"/>
      <c r="R349" s="67"/>
      <c r="S349" s="67"/>
    </row>
    <row r="350" spans="17:19" x14ac:dyDescent="0.2">
      <c r="Q350" s="67"/>
      <c r="R350" s="67"/>
      <c r="S350" s="67"/>
    </row>
    <row r="351" spans="17:19" x14ac:dyDescent="0.2">
      <c r="Q351" s="67"/>
      <c r="R351" s="67"/>
      <c r="S351" s="67"/>
    </row>
    <row r="352" spans="17:19" x14ac:dyDescent="0.2">
      <c r="Q352" s="67"/>
      <c r="R352" s="67"/>
      <c r="S352" s="67"/>
    </row>
    <row r="353" spans="17:19" x14ac:dyDescent="0.2">
      <c r="Q353" s="67"/>
      <c r="R353" s="67"/>
      <c r="S353" s="67"/>
    </row>
    <row r="354" spans="17:19" x14ac:dyDescent="0.2">
      <c r="Q354" s="67"/>
      <c r="R354" s="67"/>
      <c r="S354" s="67"/>
    </row>
    <row r="355" spans="17:19" x14ac:dyDescent="0.2">
      <c r="Q355" s="67"/>
      <c r="R355" s="67"/>
      <c r="S355" s="67"/>
    </row>
    <row r="356" spans="17:19" x14ac:dyDescent="0.2">
      <c r="Q356" s="67"/>
      <c r="R356" s="67"/>
      <c r="S356" s="67"/>
    </row>
    <row r="357" spans="17:19" x14ac:dyDescent="0.2">
      <c r="Q357" s="67"/>
      <c r="R357" s="67"/>
      <c r="S357" s="67"/>
    </row>
    <row r="358" spans="17:19" x14ac:dyDescent="0.2">
      <c r="Q358" s="67"/>
      <c r="R358" s="67"/>
      <c r="S358" s="67"/>
    </row>
    <row r="359" spans="17:19" x14ac:dyDescent="0.2">
      <c r="Q359" s="67"/>
      <c r="R359" s="67"/>
      <c r="S359" s="67"/>
    </row>
    <row r="360" spans="17:19" x14ac:dyDescent="0.2">
      <c r="Q360" s="67"/>
      <c r="R360" s="67"/>
      <c r="S360" s="67"/>
    </row>
    <row r="361" spans="17:19" x14ac:dyDescent="0.2">
      <c r="Q361" s="67"/>
      <c r="R361" s="67"/>
      <c r="S361" s="67"/>
    </row>
    <row r="362" spans="17:19" x14ac:dyDescent="0.2">
      <c r="Q362" s="67"/>
      <c r="R362" s="67"/>
      <c r="S362" s="67"/>
    </row>
    <row r="363" spans="17:19" x14ac:dyDescent="0.2">
      <c r="Q363" s="67"/>
      <c r="R363" s="67"/>
      <c r="S363" s="67"/>
    </row>
    <row r="364" spans="17:19" x14ac:dyDescent="0.2">
      <c r="Q364" s="67"/>
      <c r="R364" s="67"/>
      <c r="S364" s="67"/>
    </row>
    <row r="365" spans="17:19" x14ac:dyDescent="0.2">
      <c r="Q365" s="67"/>
      <c r="R365" s="67"/>
      <c r="S365" s="67"/>
    </row>
    <row r="366" spans="17:19" x14ac:dyDescent="0.2">
      <c r="Q366" s="67"/>
      <c r="R366" s="67"/>
      <c r="S366" s="67"/>
    </row>
    <row r="367" spans="17:19" x14ac:dyDescent="0.2">
      <c r="Q367" s="67"/>
      <c r="R367" s="67"/>
      <c r="S367" s="67"/>
    </row>
    <row r="368" spans="17:19" x14ac:dyDescent="0.2">
      <c r="Q368" s="67"/>
      <c r="R368" s="67"/>
      <c r="S368" s="67"/>
    </row>
    <row r="369" spans="17:19" x14ac:dyDescent="0.2">
      <c r="Q369" s="67"/>
      <c r="R369" s="67"/>
      <c r="S369" s="67"/>
    </row>
    <row r="370" spans="17:19" x14ac:dyDescent="0.2">
      <c r="Q370" s="67"/>
      <c r="R370" s="67"/>
      <c r="S370" s="67"/>
    </row>
    <row r="371" spans="17:19" x14ac:dyDescent="0.2">
      <c r="Q371" s="67"/>
      <c r="R371" s="67"/>
      <c r="S371" s="67"/>
    </row>
    <row r="372" spans="17:19" x14ac:dyDescent="0.2">
      <c r="Q372" s="67"/>
      <c r="R372" s="67"/>
      <c r="S372" s="67"/>
    </row>
    <row r="373" spans="17:19" x14ac:dyDescent="0.2">
      <c r="Q373" s="67"/>
      <c r="R373" s="67"/>
      <c r="S373" s="67"/>
    </row>
    <row r="374" spans="17:19" x14ac:dyDescent="0.2">
      <c r="Q374" s="67"/>
      <c r="R374" s="67"/>
      <c r="S374" s="67"/>
    </row>
    <row r="375" spans="17:19" x14ac:dyDescent="0.2">
      <c r="Q375" s="67"/>
      <c r="R375" s="67"/>
      <c r="S375" s="67"/>
    </row>
    <row r="376" spans="17:19" x14ac:dyDescent="0.2">
      <c r="Q376" s="67"/>
      <c r="R376" s="67"/>
      <c r="S376" s="67"/>
    </row>
    <row r="377" spans="17:19" x14ac:dyDescent="0.2">
      <c r="Q377" s="67"/>
      <c r="R377" s="67"/>
      <c r="S377" s="67"/>
    </row>
    <row r="378" spans="17:19" x14ac:dyDescent="0.2">
      <c r="Q378" s="67"/>
      <c r="R378" s="67"/>
      <c r="S378" s="67"/>
    </row>
    <row r="379" spans="17:19" x14ac:dyDescent="0.2">
      <c r="Q379" s="67"/>
      <c r="R379" s="67"/>
      <c r="S379" s="67"/>
    </row>
    <row r="380" spans="17:19" x14ac:dyDescent="0.2">
      <c r="Q380" s="67"/>
      <c r="R380" s="67"/>
      <c r="S380" s="67"/>
    </row>
    <row r="381" spans="17:19" x14ac:dyDescent="0.2">
      <c r="Q381" s="67"/>
      <c r="R381" s="67"/>
      <c r="S381" s="67"/>
    </row>
    <row r="382" spans="17:19" x14ac:dyDescent="0.2">
      <c r="Q382" s="67"/>
      <c r="R382" s="67"/>
      <c r="S382" s="67"/>
    </row>
    <row r="383" spans="17:19" x14ac:dyDescent="0.2">
      <c r="Q383" s="67"/>
      <c r="R383" s="67"/>
      <c r="S383" s="67"/>
    </row>
    <row r="384" spans="17:19" x14ac:dyDescent="0.2">
      <c r="Q384" s="67"/>
      <c r="R384" s="67"/>
      <c r="S384" s="67"/>
    </row>
    <row r="385" spans="17:19" x14ac:dyDescent="0.2">
      <c r="Q385" s="67"/>
      <c r="R385" s="67"/>
      <c r="S385" s="67"/>
    </row>
    <row r="386" spans="17:19" x14ac:dyDescent="0.2">
      <c r="Q386" s="67"/>
      <c r="R386" s="67"/>
      <c r="S386" s="67"/>
    </row>
    <row r="387" spans="17:19" x14ac:dyDescent="0.2">
      <c r="Q387" s="67"/>
      <c r="R387" s="67"/>
      <c r="S387" s="67"/>
    </row>
    <row r="388" spans="17:19" x14ac:dyDescent="0.2">
      <c r="Q388" s="67"/>
      <c r="R388" s="67"/>
      <c r="S388" s="67"/>
    </row>
    <row r="389" spans="17:19" x14ac:dyDescent="0.2">
      <c r="Q389" s="67"/>
      <c r="R389" s="67"/>
      <c r="S389" s="67"/>
    </row>
    <row r="390" spans="17:19" x14ac:dyDescent="0.2">
      <c r="Q390" s="67"/>
      <c r="R390" s="67"/>
      <c r="S390" s="67"/>
    </row>
    <row r="391" spans="17:19" x14ac:dyDescent="0.2">
      <c r="Q391" s="67"/>
      <c r="R391" s="67"/>
      <c r="S391" s="67"/>
    </row>
    <row r="392" spans="17:19" x14ac:dyDescent="0.2">
      <c r="Q392" s="67"/>
      <c r="R392" s="67"/>
      <c r="S392" s="67"/>
    </row>
    <row r="393" spans="17:19" x14ac:dyDescent="0.2">
      <c r="Q393" s="67"/>
      <c r="R393" s="67"/>
      <c r="S393" s="67"/>
    </row>
    <row r="394" spans="17:19" x14ac:dyDescent="0.2">
      <c r="Q394" s="67"/>
      <c r="R394" s="67"/>
      <c r="S394" s="67"/>
    </row>
    <row r="395" spans="17:19" x14ac:dyDescent="0.2">
      <c r="Q395" s="67"/>
      <c r="R395" s="67"/>
      <c r="S395" s="67"/>
    </row>
    <row r="396" spans="17:19" x14ac:dyDescent="0.2">
      <c r="Q396" s="67"/>
      <c r="R396" s="67"/>
      <c r="S396" s="67"/>
    </row>
    <row r="397" spans="17:19" x14ac:dyDescent="0.2">
      <c r="Q397" s="67"/>
      <c r="R397" s="67"/>
      <c r="S397" s="67"/>
    </row>
    <row r="398" spans="17:19" x14ac:dyDescent="0.2">
      <c r="Q398" s="67"/>
      <c r="R398" s="67"/>
      <c r="S398" s="67"/>
    </row>
    <row r="399" spans="17:19" x14ac:dyDescent="0.2">
      <c r="Q399" s="67"/>
      <c r="R399" s="67"/>
      <c r="S399" s="67"/>
    </row>
    <row r="400" spans="17:19" x14ac:dyDescent="0.2">
      <c r="Q400" s="67"/>
      <c r="R400" s="67"/>
      <c r="S400" s="67"/>
    </row>
    <row r="401" spans="17:19" x14ac:dyDescent="0.2">
      <c r="Q401" s="67"/>
      <c r="R401" s="67"/>
      <c r="S401" s="67"/>
    </row>
    <row r="402" spans="17:19" x14ac:dyDescent="0.2">
      <c r="Q402" s="67"/>
      <c r="R402" s="67"/>
      <c r="S402" s="67"/>
    </row>
    <row r="403" spans="17:19" x14ac:dyDescent="0.2">
      <c r="Q403" s="67"/>
      <c r="R403" s="67"/>
      <c r="S403" s="67"/>
    </row>
    <row r="404" spans="17:19" x14ac:dyDescent="0.2">
      <c r="Q404" s="67"/>
      <c r="R404" s="67"/>
      <c r="S404" s="67"/>
    </row>
    <row r="405" spans="17:19" x14ac:dyDescent="0.2">
      <c r="Q405" s="67"/>
      <c r="R405" s="67"/>
      <c r="S405" s="67"/>
    </row>
    <row r="406" spans="17:19" x14ac:dyDescent="0.2">
      <c r="Q406" s="67"/>
      <c r="R406" s="67"/>
      <c r="S406" s="67"/>
    </row>
    <row r="407" spans="17:19" x14ac:dyDescent="0.2">
      <c r="Q407" s="67"/>
      <c r="R407" s="67"/>
      <c r="S407" s="67"/>
    </row>
    <row r="408" spans="17:19" x14ac:dyDescent="0.2">
      <c r="Q408" s="67"/>
      <c r="R408" s="67"/>
      <c r="S408" s="67"/>
    </row>
    <row r="409" spans="17:19" x14ac:dyDescent="0.2">
      <c r="Q409" s="67"/>
      <c r="R409" s="67"/>
      <c r="S409" s="67"/>
    </row>
    <row r="410" spans="17:19" x14ac:dyDescent="0.2">
      <c r="Q410" s="67"/>
      <c r="R410" s="67"/>
      <c r="S410" s="67"/>
    </row>
    <row r="411" spans="17:19" x14ac:dyDescent="0.2">
      <c r="Q411" s="67"/>
      <c r="R411" s="67"/>
      <c r="S411" s="67"/>
    </row>
    <row r="412" spans="17:19" x14ac:dyDescent="0.2">
      <c r="Q412" s="67"/>
      <c r="R412" s="67"/>
      <c r="S412" s="67"/>
    </row>
    <row r="413" spans="17:19" x14ac:dyDescent="0.2">
      <c r="Q413" s="67"/>
      <c r="R413" s="67"/>
      <c r="S413" s="67"/>
    </row>
    <row r="414" spans="17:19" x14ac:dyDescent="0.2">
      <c r="Q414" s="67"/>
      <c r="R414" s="67"/>
      <c r="S414" s="67"/>
    </row>
    <row r="415" spans="17:19" x14ac:dyDescent="0.2">
      <c r="Q415" s="67"/>
      <c r="R415" s="67"/>
      <c r="S415" s="67"/>
    </row>
    <row r="416" spans="17:19" x14ac:dyDescent="0.2">
      <c r="Q416" s="67"/>
      <c r="R416" s="67"/>
      <c r="S416" s="67"/>
    </row>
    <row r="417" spans="17:19" x14ac:dyDescent="0.2">
      <c r="Q417" s="67"/>
      <c r="R417" s="67"/>
      <c r="S417" s="67"/>
    </row>
    <row r="418" spans="17:19" x14ac:dyDescent="0.2">
      <c r="Q418" s="67"/>
      <c r="R418" s="67"/>
      <c r="S418" s="67"/>
    </row>
    <row r="419" spans="17:19" x14ac:dyDescent="0.2">
      <c r="Q419" s="67"/>
      <c r="R419" s="67"/>
      <c r="S419" s="67"/>
    </row>
    <row r="420" spans="17:19" x14ac:dyDescent="0.2">
      <c r="Q420" s="67"/>
      <c r="R420" s="67"/>
      <c r="S420" s="67"/>
    </row>
    <row r="421" spans="17:19" x14ac:dyDescent="0.2">
      <c r="Q421" s="67"/>
      <c r="R421" s="67"/>
      <c r="S421" s="67"/>
    </row>
    <row r="422" spans="17:19" x14ac:dyDescent="0.2">
      <c r="Q422" s="67"/>
      <c r="R422" s="67"/>
      <c r="S422" s="67"/>
    </row>
    <row r="423" spans="17:19" x14ac:dyDescent="0.2">
      <c r="Q423" s="67"/>
      <c r="R423" s="67"/>
      <c r="S423" s="67"/>
    </row>
    <row r="424" spans="17:19" x14ac:dyDescent="0.2">
      <c r="Q424" s="67"/>
      <c r="R424" s="67"/>
      <c r="S424" s="67"/>
    </row>
    <row r="425" spans="17:19" x14ac:dyDescent="0.2">
      <c r="Q425" s="67"/>
      <c r="R425" s="67"/>
      <c r="S425" s="67"/>
    </row>
    <row r="426" spans="17:19" x14ac:dyDescent="0.2">
      <c r="Q426" s="67"/>
      <c r="R426" s="67"/>
      <c r="S426" s="67"/>
    </row>
    <row r="427" spans="17:19" x14ac:dyDescent="0.2">
      <c r="Q427" s="67"/>
      <c r="R427" s="67"/>
      <c r="S427" s="67"/>
    </row>
    <row r="428" spans="17:19" x14ac:dyDescent="0.2">
      <c r="Q428" s="67"/>
      <c r="R428" s="67"/>
      <c r="S428" s="67"/>
    </row>
    <row r="429" spans="17:19" x14ac:dyDescent="0.2">
      <c r="Q429" s="67"/>
      <c r="R429" s="67"/>
      <c r="S429" s="67"/>
    </row>
    <row r="430" spans="17:19" x14ac:dyDescent="0.2">
      <c r="Q430" s="67"/>
      <c r="R430" s="67"/>
      <c r="S430" s="67"/>
    </row>
    <row r="431" spans="17:19" x14ac:dyDescent="0.2">
      <c r="Q431" s="67"/>
      <c r="R431" s="67"/>
      <c r="S431" s="67"/>
    </row>
    <row r="432" spans="17:19" x14ac:dyDescent="0.2">
      <c r="Q432" s="67"/>
      <c r="R432" s="67"/>
      <c r="S432" s="67"/>
    </row>
    <row r="433" spans="17:19" x14ac:dyDescent="0.2">
      <c r="Q433" s="67"/>
      <c r="R433" s="67"/>
      <c r="S433" s="67"/>
    </row>
    <row r="434" spans="17:19" x14ac:dyDescent="0.2">
      <c r="Q434" s="67"/>
      <c r="R434" s="67"/>
      <c r="S434" s="67"/>
    </row>
    <row r="435" spans="17:19" x14ac:dyDescent="0.2">
      <c r="Q435" s="67"/>
      <c r="R435" s="67"/>
      <c r="S435" s="67"/>
    </row>
    <row r="436" spans="17:19" x14ac:dyDescent="0.2">
      <c r="Q436" s="67"/>
      <c r="R436" s="67"/>
      <c r="S436" s="67"/>
    </row>
    <row r="437" spans="17:19" x14ac:dyDescent="0.2">
      <c r="Q437" s="67"/>
      <c r="R437" s="67"/>
      <c r="S437" s="67"/>
    </row>
    <row r="438" spans="17:19" x14ac:dyDescent="0.2">
      <c r="Q438" s="67"/>
      <c r="R438" s="67"/>
      <c r="S438" s="67"/>
    </row>
    <row r="439" spans="17:19" x14ac:dyDescent="0.2">
      <c r="Q439" s="67"/>
      <c r="R439" s="67"/>
      <c r="S439" s="67"/>
    </row>
    <row r="440" spans="17:19" x14ac:dyDescent="0.2">
      <c r="Q440" s="67"/>
      <c r="R440" s="67"/>
      <c r="S440" s="67"/>
    </row>
    <row r="441" spans="17:19" x14ac:dyDescent="0.2">
      <c r="Q441" s="67"/>
      <c r="R441" s="67"/>
      <c r="S441" s="67"/>
    </row>
    <row r="442" spans="17:19" x14ac:dyDescent="0.2">
      <c r="Q442" s="67"/>
      <c r="R442" s="67"/>
      <c r="S442" s="67"/>
    </row>
    <row r="443" spans="17:19" x14ac:dyDescent="0.2">
      <c r="Q443" s="67"/>
      <c r="R443" s="67"/>
      <c r="S443" s="67"/>
    </row>
    <row r="444" spans="17:19" x14ac:dyDescent="0.2">
      <c r="Q444" s="67"/>
      <c r="R444" s="67"/>
      <c r="S444" s="67"/>
    </row>
    <row r="445" spans="17:19" x14ac:dyDescent="0.2">
      <c r="Q445" s="67"/>
      <c r="R445" s="67"/>
      <c r="S445" s="67"/>
    </row>
    <row r="446" spans="17:19" x14ac:dyDescent="0.2">
      <c r="Q446" s="67"/>
      <c r="R446" s="67"/>
      <c r="S446" s="67"/>
    </row>
    <row r="447" spans="17:19" x14ac:dyDescent="0.2">
      <c r="Q447" s="67"/>
      <c r="R447" s="67"/>
      <c r="S447" s="67"/>
    </row>
    <row r="448" spans="17:19" x14ac:dyDescent="0.2">
      <c r="Q448" s="67"/>
      <c r="R448" s="67"/>
      <c r="S448" s="67"/>
    </row>
    <row r="449" spans="17:19" x14ac:dyDescent="0.2">
      <c r="Q449" s="67"/>
      <c r="R449" s="67"/>
      <c r="S449" s="67"/>
    </row>
    <row r="450" spans="17:19" x14ac:dyDescent="0.2">
      <c r="Q450" s="67"/>
      <c r="R450" s="67"/>
      <c r="S450" s="67"/>
    </row>
    <row r="451" spans="17:19" x14ac:dyDescent="0.2">
      <c r="Q451" s="67"/>
      <c r="R451" s="67"/>
      <c r="S451" s="67"/>
    </row>
    <row r="452" spans="17:19" x14ac:dyDescent="0.2">
      <c r="Q452" s="67"/>
      <c r="R452" s="67"/>
      <c r="S452" s="67"/>
    </row>
    <row r="453" spans="17:19" x14ac:dyDescent="0.2">
      <c r="Q453" s="67"/>
      <c r="R453" s="67"/>
      <c r="S453" s="67"/>
    </row>
    <row r="454" spans="17:19" x14ac:dyDescent="0.2">
      <c r="Q454" s="67"/>
      <c r="R454" s="67"/>
      <c r="S454" s="67"/>
    </row>
    <row r="455" spans="17:19" x14ac:dyDescent="0.2">
      <c r="Q455" s="67"/>
      <c r="R455" s="67"/>
      <c r="S455" s="67"/>
    </row>
    <row r="456" spans="17:19" x14ac:dyDescent="0.2">
      <c r="Q456" s="67"/>
      <c r="R456" s="67"/>
      <c r="S456" s="67"/>
    </row>
    <row r="457" spans="17:19" x14ac:dyDescent="0.2">
      <c r="Q457" s="67"/>
      <c r="R457" s="67"/>
      <c r="S457" s="67"/>
    </row>
    <row r="458" spans="17:19" x14ac:dyDescent="0.2">
      <c r="Q458" s="67"/>
      <c r="R458" s="67"/>
      <c r="S458" s="67"/>
    </row>
    <row r="459" spans="17:19" x14ac:dyDescent="0.2">
      <c r="Q459" s="67"/>
      <c r="R459" s="67"/>
      <c r="S459" s="67"/>
    </row>
    <row r="460" spans="17:19" x14ac:dyDescent="0.2">
      <c r="Q460" s="67"/>
      <c r="R460" s="67"/>
      <c r="S460" s="67"/>
    </row>
    <row r="461" spans="17:19" x14ac:dyDescent="0.2">
      <c r="Q461" s="67"/>
      <c r="R461" s="67"/>
      <c r="S461" s="67"/>
    </row>
    <row r="462" spans="17:19" x14ac:dyDescent="0.2">
      <c r="Q462" s="67"/>
      <c r="R462" s="67"/>
      <c r="S462" s="67"/>
    </row>
    <row r="463" spans="17:19" x14ac:dyDescent="0.2">
      <c r="Q463" s="67"/>
      <c r="R463" s="67"/>
      <c r="S463" s="67"/>
    </row>
    <row r="464" spans="17:19" x14ac:dyDescent="0.2">
      <c r="Q464" s="67"/>
      <c r="R464" s="67"/>
      <c r="S464" s="67"/>
    </row>
    <row r="465" spans="17:19" x14ac:dyDescent="0.2">
      <c r="Q465" s="67"/>
      <c r="R465" s="67"/>
      <c r="S465" s="67"/>
    </row>
    <row r="466" spans="17:19" x14ac:dyDescent="0.2">
      <c r="Q466" s="67"/>
      <c r="R466" s="67"/>
      <c r="S466" s="67"/>
    </row>
    <row r="467" spans="17:19" x14ac:dyDescent="0.2">
      <c r="Q467" s="67"/>
      <c r="R467" s="67"/>
      <c r="S467" s="67"/>
    </row>
    <row r="468" spans="17:19" x14ac:dyDescent="0.2">
      <c r="Q468" s="67"/>
      <c r="R468" s="67"/>
      <c r="S468" s="67"/>
    </row>
    <row r="469" spans="17:19" x14ac:dyDescent="0.2">
      <c r="Q469" s="67"/>
      <c r="R469" s="67"/>
      <c r="S469" s="67"/>
    </row>
    <row r="470" spans="17:19" x14ac:dyDescent="0.2">
      <c r="Q470" s="67"/>
      <c r="R470" s="67"/>
      <c r="S470" s="67"/>
    </row>
    <row r="471" spans="17:19" x14ac:dyDescent="0.2">
      <c r="Q471" s="67"/>
      <c r="R471" s="67"/>
      <c r="S471" s="67"/>
    </row>
    <row r="472" spans="17:19" x14ac:dyDescent="0.2">
      <c r="Q472" s="67"/>
      <c r="R472" s="67"/>
      <c r="S472" s="67"/>
    </row>
    <row r="473" spans="17:19" x14ac:dyDescent="0.2">
      <c r="Q473" s="67"/>
      <c r="R473" s="67"/>
      <c r="S473" s="67"/>
    </row>
    <row r="474" spans="17:19" x14ac:dyDescent="0.2">
      <c r="Q474" s="67"/>
      <c r="R474" s="67"/>
      <c r="S474" s="67"/>
    </row>
    <row r="475" spans="17:19" x14ac:dyDescent="0.2">
      <c r="Q475" s="67"/>
      <c r="R475" s="67"/>
      <c r="S475" s="67"/>
    </row>
    <row r="476" spans="17:19" x14ac:dyDescent="0.2">
      <c r="Q476" s="67"/>
      <c r="R476" s="67"/>
      <c r="S476" s="67"/>
    </row>
    <row r="477" spans="17:19" x14ac:dyDescent="0.2">
      <c r="Q477" s="67"/>
      <c r="R477" s="67"/>
      <c r="S477" s="67"/>
    </row>
    <row r="478" spans="17:19" x14ac:dyDescent="0.2">
      <c r="Q478" s="67"/>
      <c r="R478" s="67"/>
      <c r="S478" s="67"/>
    </row>
    <row r="479" spans="17:19" x14ac:dyDescent="0.2">
      <c r="Q479" s="67"/>
      <c r="R479" s="67"/>
      <c r="S479" s="67"/>
    </row>
    <row r="480" spans="17:19" x14ac:dyDescent="0.2">
      <c r="Q480" s="67"/>
      <c r="R480" s="67"/>
      <c r="S480" s="67"/>
    </row>
    <row r="481" spans="17:19" x14ac:dyDescent="0.2">
      <c r="Q481" s="67"/>
      <c r="R481" s="67"/>
      <c r="S481" s="67"/>
    </row>
    <row r="482" spans="17:19" x14ac:dyDescent="0.2">
      <c r="Q482" s="67"/>
      <c r="R482" s="67"/>
      <c r="S482" s="67"/>
    </row>
    <row r="483" spans="17:19" x14ac:dyDescent="0.2">
      <c r="Q483" s="67"/>
      <c r="R483" s="67"/>
      <c r="S483" s="67"/>
    </row>
    <row r="484" spans="17:19" x14ac:dyDescent="0.2">
      <c r="Q484" s="67"/>
      <c r="R484" s="67"/>
      <c r="S484" s="67"/>
    </row>
    <row r="485" spans="17:19" x14ac:dyDescent="0.2">
      <c r="Q485" s="67"/>
      <c r="R485" s="67"/>
      <c r="S485" s="67"/>
    </row>
    <row r="486" spans="17:19" x14ac:dyDescent="0.2">
      <c r="Q486" s="67"/>
      <c r="R486" s="67"/>
      <c r="S486" s="67"/>
    </row>
    <row r="487" spans="17:19" x14ac:dyDescent="0.2">
      <c r="Q487" s="67"/>
      <c r="R487" s="67"/>
      <c r="S487" s="67"/>
    </row>
    <row r="488" spans="17:19" x14ac:dyDescent="0.2">
      <c r="Q488" s="67"/>
      <c r="R488" s="67"/>
      <c r="S488" s="67"/>
    </row>
    <row r="489" spans="17:19" x14ac:dyDescent="0.2">
      <c r="Q489" s="67"/>
      <c r="R489" s="67"/>
      <c r="S489" s="67"/>
    </row>
    <row r="490" spans="17:19" x14ac:dyDescent="0.2">
      <c r="Q490" s="67"/>
      <c r="R490" s="67"/>
      <c r="S490" s="67"/>
    </row>
    <row r="491" spans="17:19" x14ac:dyDescent="0.2">
      <c r="Q491" s="67"/>
      <c r="R491" s="67"/>
      <c r="S491" s="67"/>
    </row>
    <row r="492" spans="17:19" x14ac:dyDescent="0.2">
      <c r="Q492" s="67"/>
      <c r="R492" s="67"/>
      <c r="S492" s="67"/>
    </row>
    <row r="493" spans="17:19" x14ac:dyDescent="0.2">
      <c r="Q493" s="67"/>
      <c r="R493" s="67"/>
      <c r="S493" s="67"/>
    </row>
    <row r="494" spans="17:19" x14ac:dyDescent="0.2">
      <c r="Q494" s="67"/>
      <c r="R494" s="67"/>
      <c r="S494" s="67"/>
    </row>
    <row r="495" spans="17:19" x14ac:dyDescent="0.2">
      <c r="Q495" s="67"/>
      <c r="R495" s="67"/>
      <c r="S495" s="67"/>
    </row>
    <row r="496" spans="17:19" x14ac:dyDescent="0.2">
      <c r="Q496" s="67"/>
      <c r="R496" s="67"/>
      <c r="S496" s="67"/>
    </row>
    <row r="497" spans="17:19" x14ac:dyDescent="0.2">
      <c r="Q497" s="67"/>
      <c r="R497" s="67"/>
      <c r="S497" s="67"/>
    </row>
    <row r="498" spans="17:19" x14ac:dyDescent="0.2">
      <c r="Q498" s="67"/>
      <c r="R498" s="67"/>
      <c r="S498" s="67"/>
    </row>
    <row r="499" spans="17:19" x14ac:dyDescent="0.2">
      <c r="Q499" s="67"/>
      <c r="R499" s="67"/>
      <c r="S499" s="67"/>
    </row>
    <row r="500" spans="17:19" x14ac:dyDescent="0.2">
      <c r="Q500" s="67"/>
      <c r="R500" s="67"/>
      <c r="S500" s="67"/>
    </row>
    <row r="501" spans="17:19" x14ac:dyDescent="0.2">
      <c r="Q501" s="67"/>
      <c r="R501" s="67"/>
      <c r="S501" s="67"/>
    </row>
    <row r="502" spans="17:19" x14ac:dyDescent="0.2">
      <c r="Q502" s="67"/>
      <c r="R502" s="67"/>
      <c r="S502" s="67"/>
    </row>
    <row r="503" spans="17:19" x14ac:dyDescent="0.2">
      <c r="Q503" s="67"/>
      <c r="R503" s="67"/>
      <c r="S503" s="67"/>
    </row>
    <row r="504" spans="17:19" x14ac:dyDescent="0.2">
      <c r="Q504" s="67"/>
      <c r="R504" s="67"/>
      <c r="S504" s="67"/>
    </row>
    <row r="505" spans="17:19" x14ac:dyDescent="0.2">
      <c r="Q505" s="67"/>
      <c r="R505" s="67"/>
      <c r="S505" s="67"/>
    </row>
    <row r="506" spans="17:19" x14ac:dyDescent="0.2">
      <c r="Q506" s="67"/>
      <c r="R506" s="67"/>
      <c r="S506" s="67"/>
    </row>
    <row r="507" spans="17:19" x14ac:dyDescent="0.2">
      <c r="Q507" s="67"/>
      <c r="R507" s="67"/>
      <c r="S507" s="67"/>
    </row>
    <row r="508" spans="17:19" x14ac:dyDescent="0.2">
      <c r="Q508" s="67"/>
      <c r="R508" s="67"/>
      <c r="S508" s="67"/>
    </row>
    <row r="509" spans="17:19" x14ac:dyDescent="0.2">
      <c r="Q509" s="67"/>
      <c r="R509" s="67"/>
      <c r="S509" s="67"/>
    </row>
    <row r="510" spans="17:19" x14ac:dyDescent="0.2">
      <c r="Q510" s="67"/>
      <c r="R510" s="67"/>
      <c r="S510" s="67"/>
    </row>
    <row r="511" spans="17:19" x14ac:dyDescent="0.2">
      <c r="Q511" s="67"/>
      <c r="R511" s="67"/>
      <c r="S511" s="67"/>
    </row>
    <row r="512" spans="17:19" x14ac:dyDescent="0.2">
      <c r="Q512" s="67"/>
      <c r="R512" s="67"/>
      <c r="S512" s="67"/>
    </row>
    <row r="513" spans="17:19" x14ac:dyDescent="0.2">
      <c r="Q513" s="67"/>
      <c r="R513" s="67"/>
      <c r="S513" s="67"/>
    </row>
    <row r="514" spans="17:19" x14ac:dyDescent="0.2">
      <c r="Q514" s="67"/>
      <c r="R514" s="67"/>
      <c r="S514" s="67"/>
    </row>
    <row r="515" spans="17:19" x14ac:dyDescent="0.2">
      <c r="Q515" s="67"/>
      <c r="R515" s="67"/>
      <c r="S515" s="67"/>
    </row>
    <row r="516" spans="17:19" x14ac:dyDescent="0.2">
      <c r="Q516" s="67"/>
      <c r="R516" s="67"/>
      <c r="S516" s="67"/>
    </row>
    <row r="517" spans="17:19" x14ac:dyDescent="0.2">
      <c r="Q517" s="67"/>
      <c r="R517" s="67"/>
      <c r="S517" s="67"/>
    </row>
    <row r="518" spans="17:19" x14ac:dyDescent="0.2">
      <c r="Q518" s="67"/>
      <c r="R518" s="67"/>
      <c r="S518" s="67"/>
    </row>
    <row r="519" spans="17:19" x14ac:dyDescent="0.2">
      <c r="Q519" s="67"/>
      <c r="R519" s="67"/>
      <c r="S519" s="67"/>
    </row>
    <row r="520" spans="17:19" x14ac:dyDescent="0.2">
      <c r="Q520" s="67"/>
      <c r="R520" s="67"/>
      <c r="S520" s="67"/>
    </row>
    <row r="521" spans="17:19" x14ac:dyDescent="0.2">
      <c r="Q521" s="67"/>
      <c r="R521" s="67"/>
      <c r="S521" s="67"/>
    </row>
    <row r="522" spans="17:19" x14ac:dyDescent="0.2">
      <c r="Q522" s="67"/>
      <c r="R522" s="67"/>
      <c r="S522" s="67"/>
    </row>
    <row r="523" spans="17:19" x14ac:dyDescent="0.2">
      <c r="Q523" s="67"/>
      <c r="R523" s="67"/>
      <c r="S523" s="67"/>
    </row>
    <row r="524" spans="17:19" x14ac:dyDescent="0.2">
      <c r="Q524" s="67"/>
      <c r="R524" s="67"/>
      <c r="S524" s="67"/>
    </row>
    <row r="525" spans="17:19" x14ac:dyDescent="0.2">
      <c r="Q525" s="67"/>
      <c r="R525" s="67"/>
      <c r="S525" s="67"/>
    </row>
    <row r="526" spans="17:19" x14ac:dyDescent="0.2">
      <c r="Q526" s="67"/>
      <c r="R526" s="67"/>
      <c r="S526" s="67"/>
    </row>
    <row r="527" spans="17:19" x14ac:dyDescent="0.2">
      <c r="Q527" s="67"/>
      <c r="R527" s="67"/>
      <c r="S527" s="67"/>
    </row>
    <row r="528" spans="17:19" x14ac:dyDescent="0.2">
      <c r="Q528" s="67"/>
      <c r="R528" s="67"/>
      <c r="S528" s="67"/>
    </row>
    <row r="529" spans="17:19" x14ac:dyDescent="0.2">
      <c r="Q529" s="67"/>
      <c r="R529" s="67"/>
      <c r="S529" s="67"/>
    </row>
    <row r="530" spans="17:19" x14ac:dyDescent="0.2">
      <c r="Q530" s="67"/>
      <c r="R530" s="67"/>
      <c r="S530" s="67"/>
    </row>
    <row r="531" spans="17:19" x14ac:dyDescent="0.2">
      <c r="Q531" s="67"/>
      <c r="R531" s="67"/>
      <c r="S531" s="67"/>
    </row>
    <row r="532" spans="17:19" x14ac:dyDescent="0.2">
      <c r="Q532" s="67"/>
      <c r="R532" s="67"/>
      <c r="S532" s="67"/>
    </row>
    <row r="533" spans="17:19" x14ac:dyDescent="0.2">
      <c r="Q533" s="67"/>
      <c r="R533" s="67"/>
      <c r="S533" s="67"/>
    </row>
    <row r="534" spans="17:19" x14ac:dyDescent="0.2">
      <c r="Q534" s="67"/>
      <c r="R534" s="67"/>
      <c r="S534" s="67"/>
    </row>
    <row r="535" spans="17:19" x14ac:dyDescent="0.2">
      <c r="Q535" s="67"/>
      <c r="R535" s="67"/>
      <c r="S535" s="67"/>
    </row>
    <row r="536" spans="17:19" x14ac:dyDescent="0.2">
      <c r="Q536" s="67"/>
      <c r="R536" s="67"/>
      <c r="S536" s="67"/>
    </row>
    <row r="537" spans="17:19" x14ac:dyDescent="0.2">
      <c r="Q537" s="67"/>
      <c r="R537" s="67"/>
      <c r="S537" s="67"/>
    </row>
    <row r="538" spans="17:19" x14ac:dyDescent="0.2">
      <c r="Q538" s="67"/>
      <c r="R538" s="67"/>
      <c r="S538" s="67"/>
    </row>
    <row r="539" spans="17:19" x14ac:dyDescent="0.2">
      <c r="Q539" s="67"/>
      <c r="R539" s="67"/>
      <c r="S539" s="67"/>
    </row>
    <row r="540" spans="17:19" x14ac:dyDescent="0.2">
      <c r="Q540" s="67"/>
      <c r="R540" s="67"/>
      <c r="S540" s="67"/>
    </row>
    <row r="541" spans="17:19" x14ac:dyDescent="0.2">
      <c r="Q541" s="67"/>
      <c r="R541" s="67"/>
      <c r="S541" s="67"/>
    </row>
    <row r="542" spans="17:19" x14ac:dyDescent="0.2">
      <c r="Q542" s="67"/>
      <c r="R542" s="67"/>
      <c r="S542" s="67"/>
    </row>
    <row r="543" spans="17:19" x14ac:dyDescent="0.2">
      <c r="Q543" s="67"/>
      <c r="R543" s="67"/>
      <c r="S543" s="67"/>
    </row>
    <row r="544" spans="17:19" x14ac:dyDescent="0.2">
      <c r="Q544" s="67"/>
      <c r="R544" s="67"/>
      <c r="S544" s="67"/>
    </row>
    <row r="545" spans="17:19" x14ac:dyDescent="0.2">
      <c r="Q545" s="67"/>
      <c r="R545" s="67"/>
      <c r="S545" s="67"/>
    </row>
    <row r="546" spans="17:19" x14ac:dyDescent="0.2">
      <c r="Q546" s="67"/>
      <c r="R546" s="67"/>
      <c r="S546" s="67"/>
    </row>
    <row r="547" spans="17:19" x14ac:dyDescent="0.2">
      <c r="Q547" s="67"/>
      <c r="R547" s="67"/>
      <c r="S547" s="67"/>
    </row>
    <row r="548" spans="17:19" x14ac:dyDescent="0.2">
      <c r="Q548" s="67"/>
      <c r="R548" s="67"/>
      <c r="S548" s="67"/>
    </row>
    <row r="549" spans="17:19" x14ac:dyDescent="0.2">
      <c r="Q549" s="67"/>
      <c r="R549" s="67"/>
      <c r="S549" s="67"/>
    </row>
    <row r="550" spans="17:19" x14ac:dyDescent="0.2">
      <c r="Q550" s="67"/>
      <c r="R550" s="67"/>
      <c r="S550" s="67"/>
    </row>
    <row r="551" spans="17:19" x14ac:dyDescent="0.2">
      <c r="Q551" s="67"/>
      <c r="R551" s="67"/>
      <c r="S551" s="67"/>
    </row>
    <row r="552" spans="17:19" x14ac:dyDescent="0.2">
      <c r="Q552" s="67"/>
      <c r="R552" s="67"/>
      <c r="S552" s="67"/>
    </row>
    <row r="553" spans="17:19" x14ac:dyDescent="0.2">
      <c r="Q553" s="67"/>
      <c r="R553" s="67"/>
      <c r="S553" s="67"/>
    </row>
    <row r="554" spans="17:19" x14ac:dyDescent="0.2">
      <c r="Q554" s="67"/>
      <c r="R554" s="67"/>
      <c r="S554" s="67"/>
    </row>
    <row r="555" spans="17:19" x14ac:dyDescent="0.2">
      <c r="Q555" s="67"/>
      <c r="R555" s="67"/>
      <c r="S555" s="67"/>
    </row>
    <row r="556" spans="17:19" x14ac:dyDescent="0.2">
      <c r="Q556" s="67"/>
      <c r="R556" s="67"/>
      <c r="S556" s="67"/>
    </row>
    <row r="557" spans="17:19" x14ac:dyDescent="0.2">
      <c r="Q557" s="67"/>
      <c r="R557" s="67"/>
      <c r="S557" s="67"/>
    </row>
    <row r="558" spans="17:19" x14ac:dyDescent="0.2">
      <c r="Q558" s="67"/>
      <c r="R558" s="67"/>
      <c r="S558" s="67"/>
    </row>
    <row r="559" spans="17:19" x14ac:dyDescent="0.2">
      <c r="Q559" s="67"/>
      <c r="R559" s="67"/>
      <c r="S559" s="67"/>
    </row>
    <row r="560" spans="17:19" x14ac:dyDescent="0.2">
      <c r="Q560" s="67"/>
      <c r="R560" s="67"/>
      <c r="S560" s="67"/>
    </row>
    <row r="561" spans="17:19" x14ac:dyDescent="0.2">
      <c r="Q561" s="67"/>
      <c r="R561" s="67"/>
      <c r="S561" s="67"/>
    </row>
    <row r="562" spans="17:19" x14ac:dyDescent="0.2">
      <c r="Q562" s="67"/>
      <c r="R562" s="67"/>
      <c r="S562" s="67"/>
    </row>
    <row r="563" spans="17:19" x14ac:dyDescent="0.2">
      <c r="Q563" s="67"/>
      <c r="R563" s="67"/>
      <c r="S563" s="67"/>
    </row>
    <row r="564" spans="17:19" x14ac:dyDescent="0.2">
      <c r="Q564" s="67"/>
      <c r="R564" s="67"/>
      <c r="S564" s="67"/>
    </row>
    <row r="565" spans="17:19" x14ac:dyDescent="0.2">
      <c r="Q565" s="67"/>
      <c r="R565" s="67"/>
      <c r="S565" s="67"/>
    </row>
    <row r="566" spans="17:19" x14ac:dyDescent="0.2">
      <c r="Q566" s="67"/>
      <c r="R566" s="67"/>
      <c r="S566" s="67"/>
    </row>
    <row r="567" spans="17:19" x14ac:dyDescent="0.2">
      <c r="Q567" s="67"/>
      <c r="R567" s="67"/>
      <c r="S567" s="67"/>
    </row>
    <row r="568" spans="17:19" x14ac:dyDescent="0.2">
      <c r="Q568" s="67"/>
      <c r="R568" s="67"/>
      <c r="S568" s="67"/>
    </row>
    <row r="569" spans="17:19" x14ac:dyDescent="0.2">
      <c r="Q569" s="67"/>
      <c r="R569" s="67"/>
      <c r="S569" s="67"/>
    </row>
    <row r="570" spans="17:19" x14ac:dyDescent="0.2">
      <c r="Q570" s="67"/>
      <c r="R570" s="67"/>
      <c r="S570" s="67"/>
    </row>
    <row r="571" spans="17:19" x14ac:dyDescent="0.2">
      <c r="Q571" s="67"/>
      <c r="R571" s="67"/>
      <c r="S571" s="67"/>
    </row>
    <row r="572" spans="17:19" x14ac:dyDescent="0.2">
      <c r="Q572" s="67"/>
      <c r="R572" s="67"/>
      <c r="S572" s="67"/>
    </row>
    <row r="573" spans="17:19" x14ac:dyDescent="0.2">
      <c r="Q573" s="67"/>
      <c r="R573" s="67"/>
      <c r="S573" s="67"/>
    </row>
    <row r="574" spans="17:19" x14ac:dyDescent="0.2">
      <c r="Q574" s="67"/>
      <c r="R574" s="67"/>
      <c r="S574" s="67"/>
    </row>
    <row r="575" spans="17:19" x14ac:dyDescent="0.2">
      <c r="Q575" s="67"/>
      <c r="R575" s="67"/>
      <c r="S575" s="67"/>
    </row>
    <row r="576" spans="17:19" x14ac:dyDescent="0.2">
      <c r="Q576" s="67"/>
      <c r="R576" s="67"/>
      <c r="S576" s="67"/>
    </row>
    <row r="577" spans="17:19" x14ac:dyDescent="0.2">
      <c r="Q577" s="67"/>
      <c r="R577" s="67"/>
      <c r="S577" s="67"/>
    </row>
    <row r="578" spans="17:19" x14ac:dyDescent="0.2">
      <c r="Q578" s="67"/>
      <c r="R578" s="67"/>
      <c r="S578" s="67"/>
    </row>
    <row r="579" spans="17:19" x14ac:dyDescent="0.2">
      <c r="Q579" s="67"/>
      <c r="R579" s="67"/>
      <c r="S579" s="67"/>
    </row>
    <row r="580" spans="17:19" x14ac:dyDescent="0.2">
      <c r="Q580" s="67"/>
      <c r="R580" s="67"/>
      <c r="S580" s="67"/>
    </row>
    <row r="581" spans="17:19" x14ac:dyDescent="0.2">
      <c r="Q581" s="67"/>
      <c r="R581" s="67"/>
      <c r="S581" s="67"/>
    </row>
    <row r="582" spans="17:19" x14ac:dyDescent="0.2">
      <c r="Q582" s="67"/>
      <c r="R582" s="67"/>
      <c r="S582" s="67"/>
    </row>
    <row r="583" spans="17:19" x14ac:dyDescent="0.2">
      <c r="Q583" s="67"/>
      <c r="R583" s="67"/>
      <c r="S583" s="67"/>
    </row>
    <row r="584" spans="17:19" x14ac:dyDescent="0.2">
      <c r="Q584" s="67"/>
      <c r="R584" s="67"/>
      <c r="S584" s="67"/>
    </row>
    <row r="585" spans="17:19" x14ac:dyDescent="0.2">
      <c r="Q585" s="67"/>
      <c r="R585" s="67"/>
      <c r="S585" s="67"/>
    </row>
    <row r="586" spans="17:19" x14ac:dyDescent="0.2">
      <c r="Q586" s="67"/>
      <c r="R586" s="67"/>
      <c r="S586" s="67"/>
    </row>
    <row r="587" spans="17:19" x14ac:dyDescent="0.2">
      <c r="Q587" s="67"/>
      <c r="R587" s="67"/>
      <c r="S587" s="67"/>
    </row>
    <row r="588" spans="17:19" x14ac:dyDescent="0.2">
      <c r="Q588" s="67"/>
      <c r="R588" s="67"/>
      <c r="S588" s="67"/>
    </row>
    <row r="589" spans="17:19" x14ac:dyDescent="0.2">
      <c r="Q589" s="67"/>
      <c r="R589" s="67"/>
      <c r="S589" s="67"/>
    </row>
    <row r="590" spans="17:19" x14ac:dyDescent="0.2">
      <c r="Q590" s="67"/>
      <c r="R590" s="67"/>
      <c r="S590" s="67"/>
    </row>
    <row r="591" spans="17:19" x14ac:dyDescent="0.2">
      <c r="Q591" s="67"/>
      <c r="R591" s="67"/>
      <c r="S591" s="67"/>
    </row>
    <row r="592" spans="17:19" x14ac:dyDescent="0.2">
      <c r="Q592" s="67"/>
      <c r="R592" s="67"/>
      <c r="S592" s="67"/>
    </row>
    <row r="593" spans="17:19" x14ac:dyDescent="0.2">
      <c r="Q593" s="67"/>
      <c r="R593" s="67"/>
      <c r="S593" s="67"/>
    </row>
    <row r="594" spans="17:19" x14ac:dyDescent="0.2">
      <c r="Q594" s="67"/>
      <c r="R594" s="67"/>
      <c r="S594" s="67"/>
    </row>
    <row r="595" spans="17:19" x14ac:dyDescent="0.2">
      <c r="Q595" s="67"/>
      <c r="R595" s="67"/>
      <c r="S595" s="67"/>
    </row>
    <row r="596" spans="17:19" x14ac:dyDescent="0.2">
      <c r="Q596" s="67"/>
      <c r="R596" s="67"/>
      <c r="S596" s="67"/>
    </row>
    <row r="597" spans="17:19" x14ac:dyDescent="0.2">
      <c r="Q597" s="67"/>
      <c r="R597" s="67"/>
      <c r="S597" s="67"/>
    </row>
    <row r="598" spans="17:19" x14ac:dyDescent="0.2">
      <c r="Q598" s="67"/>
      <c r="R598" s="67"/>
      <c r="S598" s="67"/>
    </row>
    <row r="599" spans="17:19" x14ac:dyDescent="0.2">
      <c r="Q599" s="67"/>
      <c r="R599" s="67"/>
      <c r="S599" s="67"/>
    </row>
    <row r="600" spans="17:19" x14ac:dyDescent="0.2">
      <c r="Q600" s="67"/>
      <c r="R600" s="67"/>
      <c r="S600" s="67"/>
    </row>
    <row r="601" spans="17:19" x14ac:dyDescent="0.2">
      <c r="Q601" s="67"/>
      <c r="R601" s="67"/>
      <c r="S601" s="67"/>
    </row>
    <row r="602" spans="17:19" x14ac:dyDescent="0.2">
      <c r="Q602" s="67"/>
      <c r="R602" s="67"/>
      <c r="S602" s="67"/>
    </row>
    <row r="603" spans="17:19" x14ac:dyDescent="0.2">
      <c r="Q603" s="67"/>
      <c r="R603" s="67"/>
      <c r="S603" s="67"/>
    </row>
    <row r="604" spans="17:19" x14ac:dyDescent="0.2">
      <c r="Q604" s="67"/>
      <c r="R604" s="67"/>
      <c r="S604" s="67"/>
    </row>
    <row r="605" spans="17:19" x14ac:dyDescent="0.2">
      <c r="Q605" s="67"/>
      <c r="R605" s="67"/>
      <c r="S605" s="67"/>
    </row>
    <row r="606" spans="17:19" x14ac:dyDescent="0.2">
      <c r="Q606" s="67"/>
      <c r="R606" s="67"/>
      <c r="S606" s="67"/>
    </row>
    <row r="607" spans="17:19" x14ac:dyDescent="0.2">
      <c r="Q607" s="67"/>
      <c r="R607" s="67"/>
      <c r="S607" s="67"/>
    </row>
    <row r="608" spans="17:19" x14ac:dyDescent="0.2">
      <c r="Q608" s="67"/>
      <c r="R608" s="67"/>
      <c r="S608" s="67"/>
    </row>
    <row r="609" spans="17:19" x14ac:dyDescent="0.2">
      <c r="Q609" s="67"/>
      <c r="R609" s="67"/>
      <c r="S609" s="67"/>
    </row>
    <row r="610" spans="17:19" x14ac:dyDescent="0.2">
      <c r="Q610" s="67"/>
      <c r="R610" s="67"/>
      <c r="S610" s="67"/>
    </row>
    <row r="611" spans="17:19" x14ac:dyDescent="0.2">
      <c r="Q611" s="67"/>
      <c r="R611" s="67"/>
      <c r="S611" s="67"/>
    </row>
    <row r="612" spans="17:19" x14ac:dyDescent="0.2">
      <c r="Q612" s="67"/>
      <c r="R612" s="67"/>
      <c r="S612" s="67"/>
    </row>
    <row r="613" spans="17:19" x14ac:dyDescent="0.2">
      <c r="Q613" s="67"/>
      <c r="R613" s="67"/>
      <c r="S613" s="67"/>
    </row>
    <row r="614" spans="17:19" x14ac:dyDescent="0.2">
      <c r="Q614" s="67"/>
      <c r="R614" s="67"/>
      <c r="S614" s="67"/>
    </row>
    <row r="615" spans="17:19" x14ac:dyDescent="0.2">
      <c r="Q615" s="67"/>
      <c r="R615" s="67"/>
      <c r="S615" s="67"/>
    </row>
    <row r="616" spans="17:19" x14ac:dyDescent="0.2">
      <c r="Q616" s="67"/>
      <c r="R616" s="67"/>
      <c r="S616" s="67"/>
    </row>
    <row r="617" spans="17:19" x14ac:dyDescent="0.2">
      <c r="Q617" s="67"/>
      <c r="R617" s="67"/>
      <c r="S617" s="67"/>
    </row>
    <row r="618" spans="17:19" x14ac:dyDescent="0.2">
      <c r="Q618" s="67"/>
      <c r="R618" s="67"/>
      <c r="S618" s="67"/>
    </row>
    <row r="619" spans="17:19" x14ac:dyDescent="0.2">
      <c r="Q619" s="67"/>
      <c r="R619" s="67"/>
      <c r="S619" s="67"/>
    </row>
    <row r="620" spans="17:19" x14ac:dyDescent="0.2">
      <c r="Q620" s="67"/>
      <c r="R620" s="67"/>
      <c r="S620" s="67"/>
    </row>
    <row r="621" spans="17:19" x14ac:dyDescent="0.2">
      <c r="Q621" s="67"/>
      <c r="R621" s="67"/>
      <c r="S621" s="67"/>
    </row>
    <row r="622" spans="17:19" x14ac:dyDescent="0.2">
      <c r="Q622" s="67"/>
      <c r="R622" s="67"/>
      <c r="S622" s="67"/>
    </row>
    <row r="623" spans="17:19" x14ac:dyDescent="0.2">
      <c r="Q623" s="67"/>
      <c r="R623" s="67"/>
      <c r="S623" s="67"/>
    </row>
    <row r="624" spans="17:19" x14ac:dyDescent="0.2">
      <c r="Q624" s="67"/>
      <c r="R624" s="67"/>
      <c r="S624" s="67"/>
    </row>
    <row r="625" spans="17:19" x14ac:dyDescent="0.2">
      <c r="Q625" s="67"/>
      <c r="R625" s="67"/>
      <c r="S625" s="67"/>
    </row>
    <row r="626" spans="17:19" x14ac:dyDescent="0.2">
      <c r="Q626" s="67"/>
      <c r="R626" s="67"/>
      <c r="S626" s="67"/>
    </row>
    <row r="627" spans="17:19" x14ac:dyDescent="0.2">
      <c r="Q627" s="67"/>
      <c r="R627" s="67"/>
      <c r="S627" s="67"/>
    </row>
    <row r="628" spans="17:19" x14ac:dyDescent="0.2">
      <c r="Q628" s="67"/>
      <c r="R628" s="67"/>
      <c r="S628" s="67"/>
    </row>
    <row r="629" spans="17:19" x14ac:dyDescent="0.2">
      <c r="Q629" s="67"/>
      <c r="R629" s="67"/>
      <c r="S629" s="67"/>
    </row>
    <row r="630" spans="17:19" x14ac:dyDescent="0.2">
      <c r="Q630" s="67"/>
      <c r="R630" s="67"/>
      <c r="S630" s="67"/>
    </row>
    <row r="631" spans="17:19" x14ac:dyDescent="0.2">
      <c r="Q631" s="67"/>
      <c r="R631" s="67"/>
      <c r="S631" s="67"/>
    </row>
    <row r="632" spans="17:19" x14ac:dyDescent="0.2">
      <c r="Q632" s="67"/>
      <c r="R632" s="67"/>
      <c r="S632" s="67"/>
    </row>
    <row r="633" spans="17:19" x14ac:dyDescent="0.2">
      <c r="Q633" s="67"/>
      <c r="R633" s="67"/>
      <c r="S633" s="67"/>
    </row>
    <row r="634" spans="17:19" x14ac:dyDescent="0.2">
      <c r="Q634" s="67"/>
      <c r="R634" s="67"/>
      <c r="S634" s="67"/>
    </row>
    <row r="635" spans="17:19" x14ac:dyDescent="0.2">
      <c r="Q635" s="67"/>
      <c r="R635" s="67"/>
      <c r="S635" s="67"/>
    </row>
    <row r="636" spans="17:19" x14ac:dyDescent="0.2">
      <c r="Q636" s="67"/>
      <c r="R636" s="67"/>
      <c r="S636" s="67"/>
    </row>
    <row r="637" spans="17:19" x14ac:dyDescent="0.2">
      <c r="Q637" s="67"/>
      <c r="R637" s="67"/>
      <c r="S637" s="67"/>
    </row>
    <row r="638" spans="17:19" x14ac:dyDescent="0.2">
      <c r="Q638" s="67"/>
      <c r="R638" s="67"/>
      <c r="S638" s="67"/>
    </row>
    <row r="639" spans="17:19" x14ac:dyDescent="0.2">
      <c r="Q639" s="67"/>
      <c r="R639" s="67"/>
      <c r="S639" s="67"/>
    </row>
    <row r="640" spans="17:19" x14ac:dyDescent="0.2">
      <c r="Q640" s="67"/>
      <c r="R640" s="67"/>
      <c r="S640" s="67"/>
    </row>
    <row r="641" spans="17:19" x14ac:dyDescent="0.2">
      <c r="Q641" s="67"/>
      <c r="R641" s="67"/>
      <c r="S641" s="67"/>
    </row>
    <row r="642" spans="17:19" x14ac:dyDescent="0.2">
      <c r="Q642" s="67"/>
      <c r="R642" s="67"/>
      <c r="S642" s="67"/>
    </row>
    <row r="643" spans="17:19" x14ac:dyDescent="0.2">
      <c r="Q643" s="67"/>
      <c r="R643" s="67"/>
      <c r="S643" s="67"/>
    </row>
    <row r="644" spans="17:19" x14ac:dyDescent="0.2">
      <c r="Q644" s="67"/>
      <c r="R644" s="67"/>
      <c r="S644" s="67"/>
    </row>
    <row r="645" spans="17:19" x14ac:dyDescent="0.2">
      <c r="Q645" s="67"/>
      <c r="R645" s="67"/>
      <c r="S645" s="67"/>
    </row>
    <row r="646" spans="17:19" x14ac:dyDescent="0.2">
      <c r="Q646" s="67"/>
      <c r="R646" s="67"/>
      <c r="S646" s="67"/>
    </row>
    <row r="647" spans="17:19" x14ac:dyDescent="0.2">
      <c r="Q647" s="67"/>
      <c r="R647" s="67"/>
      <c r="S647" s="67"/>
    </row>
    <row r="648" spans="17:19" x14ac:dyDescent="0.2">
      <c r="Q648" s="67"/>
      <c r="R648" s="67"/>
      <c r="S648" s="67"/>
    </row>
    <row r="649" spans="17:19" x14ac:dyDescent="0.2">
      <c r="Q649" s="67"/>
      <c r="R649" s="67"/>
      <c r="S649" s="67"/>
    </row>
    <row r="650" spans="17:19" x14ac:dyDescent="0.2">
      <c r="Q650" s="67"/>
      <c r="R650" s="67"/>
      <c r="S650" s="67"/>
    </row>
    <row r="651" spans="17:19" x14ac:dyDescent="0.2">
      <c r="Q651" s="67"/>
      <c r="R651" s="67"/>
      <c r="S651" s="67"/>
    </row>
    <row r="652" spans="17:19" x14ac:dyDescent="0.2">
      <c r="Q652" s="67"/>
      <c r="R652" s="67"/>
      <c r="S652" s="67"/>
    </row>
    <row r="653" spans="17:19" x14ac:dyDescent="0.2">
      <c r="Q653" s="67"/>
      <c r="R653" s="67"/>
      <c r="S653" s="67"/>
    </row>
    <row r="654" spans="17:19" x14ac:dyDescent="0.2">
      <c r="Q654" s="67"/>
      <c r="R654" s="67"/>
      <c r="S654" s="67"/>
    </row>
    <row r="655" spans="17:19" x14ac:dyDescent="0.2">
      <c r="Q655" s="67"/>
      <c r="R655" s="67"/>
      <c r="S655" s="67"/>
    </row>
    <row r="656" spans="17:19" x14ac:dyDescent="0.2">
      <c r="Q656" s="67"/>
      <c r="R656" s="67"/>
      <c r="S656" s="67"/>
    </row>
    <row r="657" spans="17:19" x14ac:dyDescent="0.2">
      <c r="Q657" s="67"/>
      <c r="R657" s="67"/>
      <c r="S657" s="67"/>
    </row>
    <row r="658" spans="17:19" x14ac:dyDescent="0.2">
      <c r="Q658" s="67"/>
      <c r="R658" s="67"/>
      <c r="S658" s="67"/>
    </row>
    <row r="659" spans="17:19" x14ac:dyDescent="0.2">
      <c r="Q659" s="67"/>
      <c r="R659" s="67"/>
      <c r="S659" s="67"/>
    </row>
    <row r="660" spans="17:19" x14ac:dyDescent="0.2">
      <c r="Q660" s="67"/>
      <c r="R660" s="67"/>
      <c r="S660" s="67"/>
    </row>
    <row r="661" spans="17:19" x14ac:dyDescent="0.2">
      <c r="Q661" s="67"/>
      <c r="R661" s="67"/>
      <c r="S661" s="67"/>
    </row>
    <row r="662" spans="17:19" x14ac:dyDescent="0.2">
      <c r="Q662" s="67"/>
      <c r="R662" s="67"/>
      <c r="S662" s="67"/>
    </row>
    <row r="663" spans="17:19" x14ac:dyDescent="0.2">
      <c r="Q663" s="67"/>
      <c r="R663" s="67"/>
      <c r="S663" s="67"/>
    </row>
    <row r="664" spans="17:19" x14ac:dyDescent="0.2">
      <c r="Q664" s="67"/>
      <c r="R664" s="67"/>
      <c r="S664" s="67"/>
    </row>
    <row r="665" spans="17:19" x14ac:dyDescent="0.2">
      <c r="Q665" s="67"/>
      <c r="R665" s="67"/>
      <c r="S665" s="67"/>
    </row>
    <row r="666" spans="17:19" x14ac:dyDescent="0.2">
      <c r="Q666" s="67"/>
      <c r="R666" s="67"/>
      <c r="S666" s="67"/>
    </row>
    <row r="667" spans="17:19" x14ac:dyDescent="0.2">
      <c r="Q667" s="67"/>
      <c r="R667" s="67"/>
      <c r="S667" s="67"/>
    </row>
    <row r="668" spans="17:19" x14ac:dyDescent="0.2">
      <c r="Q668" s="67"/>
      <c r="R668" s="67"/>
      <c r="S668" s="67"/>
    </row>
    <row r="669" spans="17:19" x14ac:dyDescent="0.2">
      <c r="Q669" s="67"/>
      <c r="R669" s="67"/>
      <c r="S669" s="67"/>
    </row>
    <row r="670" spans="17:19" x14ac:dyDescent="0.2">
      <c r="Q670" s="67"/>
      <c r="R670" s="67"/>
      <c r="S670" s="67"/>
    </row>
    <row r="671" spans="17:19" x14ac:dyDescent="0.2">
      <c r="Q671" s="67"/>
      <c r="R671" s="67"/>
      <c r="S671" s="67"/>
    </row>
    <row r="672" spans="17:19" x14ac:dyDescent="0.2">
      <c r="Q672" s="67"/>
      <c r="R672" s="67"/>
      <c r="S672" s="67"/>
    </row>
    <row r="673" spans="17:19" x14ac:dyDescent="0.2">
      <c r="Q673" s="67"/>
      <c r="R673" s="67"/>
      <c r="S673" s="67"/>
    </row>
    <row r="674" spans="17:19" x14ac:dyDescent="0.2">
      <c r="Q674" s="67"/>
      <c r="R674" s="67"/>
      <c r="S674" s="67"/>
    </row>
    <row r="675" spans="17:19" x14ac:dyDescent="0.2">
      <c r="Q675" s="67"/>
      <c r="R675" s="67"/>
      <c r="S675" s="67"/>
    </row>
    <row r="676" spans="17:19" x14ac:dyDescent="0.2">
      <c r="Q676" s="67"/>
      <c r="R676" s="67"/>
      <c r="S676" s="67"/>
    </row>
    <row r="677" spans="17:19" x14ac:dyDescent="0.2">
      <c r="Q677" s="67"/>
      <c r="R677" s="67"/>
      <c r="S677" s="67"/>
    </row>
    <row r="678" spans="17:19" x14ac:dyDescent="0.2">
      <c r="Q678" s="67"/>
      <c r="R678" s="67"/>
      <c r="S678" s="67"/>
    </row>
    <row r="679" spans="17:19" x14ac:dyDescent="0.2">
      <c r="Q679" s="67"/>
      <c r="R679" s="67"/>
      <c r="S679" s="67"/>
    </row>
    <row r="680" spans="17:19" x14ac:dyDescent="0.2">
      <c r="Q680" s="67"/>
      <c r="R680" s="67"/>
      <c r="S680" s="67"/>
    </row>
    <row r="681" spans="17:19" x14ac:dyDescent="0.2">
      <c r="Q681" s="67"/>
      <c r="R681" s="67"/>
      <c r="S681" s="67"/>
    </row>
    <row r="682" spans="17:19" x14ac:dyDescent="0.2">
      <c r="Q682" s="67"/>
      <c r="R682" s="67"/>
      <c r="S682" s="67"/>
    </row>
    <row r="683" spans="17:19" x14ac:dyDescent="0.2">
      <c r="Q683" s="67"/>
      <c r="R683" s="67"/>
      <c r="S683" s="67"/>
    </row>
    <row r="684" spans="17:19" x14ac:dyDescent="0.2">
      <c r="Q684" s="67"/>
      <c r="R684" s="67"/>
      <c r="S684" s="67"/>
    </row>
    <row r="685" spans="17:19" x14ac:dyDescent="0.2">
      <c r="Q685" s="67"/>
      <c r="R685" s="67"/>
      <c r="S685" s="67"/>
    </row>
    <row r="686" spans="17:19" x14ac:dyDescent="0.2">
      <c r="Q686" s="67"/>
      <c r="R686" s="67"/>
      <c r="S686" s="67"/>
    </row>
    <row r="687" spans="17:19" x14ac:dyDescent="0.2">
      <c r="Q687" s="67"/>
      <c r="R687" s="67"/>
      <c r="S687" s="67"/>
    </row>
    <row r="688" spans="17:19" x14ac:dyDescent="0.2">
      <c r="Q688" s="67"/>
      <c r="R688" s="67"/>
      <c r="S688" s="67"/>
    </row>
    <row r="689" spans="17:19" x14ac:dyDescent="0.2">
      <c r="Q689" s="67"/>
      <c r="R689" s="67"/>
      <c r="S689" s="67"/>
    </row>
    <row r="690" spans="17:19" x14ac:dyDescent="0.2">
      <c r="Q690" s="67"/>
      <c r="R690" s="67"/>
      <c r="S690" s="67"/>
    </row>
    <row r="691" spans="17:19" x14ac:dyDescent="0.2">
      <c r="Q691" s="67"/>
      <c r="R691" s="67"/>
      <c r="S691" s="67"/>
    </row>
    <row r="692" spans="17:19" x14ac:dyDescent="0.2">
      <c r="Q692" s="67"/>
      <c r="R692" s="67"/>
      <c r="S692" s="67"/>
    </row>
    <row r="693" spans="17:19" x14ac:dyDescent="0.2">
      <c r="Q693" s="67"/>
      <c r="R693" s="67"/>
      <c r="S693" s="67"/>
    </row>
    <row r="694" spans="17:19" x14ac:dyDescent="0.2">
      <c r="Q694" s="67"/>
      <c r="R694" s="67"/>
      <c r="S694" s="67"/>
    </row>
    <row r="695" spans="17:19" x14ac:dyDescent="0.2">
      <c r="Q695" s="67"/>
      <c r="R695" s="67"/>
      <c r="S695" s="67"/>
    </row>
    <row r="696" spans="17:19" x14ac:dyDescent="0.2">
      <c r="Q696" s="67"/>
      <c r="R696" s="67"/>
      <c r="S696" s="67"/>
    </row>
    <row r="697" spans="17:19" x14ac:dyDescent="0.2">
      <c r="Q697" s="67"/>
      <c r="R697" s="67"/>
      <c r="S697" s="67"/>
    </row>
    <row r="698" spans="17:19" x14ac:dyDescent="0.2">
      <c r="Q698" s="67"/>
      <c r="R698" s="67"/>
      <c r="S698" s="67"/>
    </row>
    <row r="699" spans="17:19" x14ac:dyDescent="0.2">
      <c r="Q699" s="67"/>
      <c r="R699" s="67"/>
      <c r="S699" s="67"/>
    </row>
    <row r="700" spans="17:19" x14ac:dyDescent="0.2">
      <c r="Q700" s="67"/>
      <c r="R700" s="67"/>
      <c r="S700" s="67"/>
    </row>
    <row r="701" spans="17:19" x14ac:dyDescent="0.2">
      <c r="Q701" s="67"/>
      <c r="R701" s="67"/>
      <c r="S701" s="67"/>
    </row>
    <row r="702" spans="17:19" x14ac:dyDescent="0.2">
      <c r="Q702" s="67"/>
      <c r="R702" s="67"/>
      <c r="S702" s="67"/>
    </row>
    <row r="703" spans="17:19" x14ac:dyDescent="0.2">
      <c r="Q703" s="67"/>
      <c r="R703" s="67"/>
      <c r="S703" s="67"/>
    </row>
    <row r="704" spans="17:19" x14ac:dyDescent="0.2">
      <c r="Q704" s="67"/>
      <c r="R704" s="67"/>
      <c r="S704" s="67"/>
    </row>
    <row r="705" spans="17:19" x14ac:dyDescent="0.2">
      <c r="Q705" s="67"/>
      <c r="R705" s="67"/>
      <c r="S705" s="67"/>
    </row>
    <row r="706" spans="17:19" x14ac:dyDescent="0.2">
      <c r="Q706" s="67"/>
      <c r="R706" s="67"/>
      <c r="S706" s="67"/>
    </row>
    <row r="707" spans="17:19" x14ac:dyDescent="0.2">
      <c r="Q707" s="67"/>
      <c r="R707" s="67"/>
      <c r="S707" s="67"/>
    </row>
    <row r="708" spans="17:19" x14ac:dyDescent="0.2">
      <c r="Q708" s="67"/>
      <c r="R708" s="67"/>
      <c r="S708" s="67"/>
    </row>
    <row r="709" spans="17:19" x14ac:dyDescent="0.2">
      <c r="Q709" s="67"/>
      <c r="R709" s="67"/>
      <c r="S709" s="67"/>
    </row>
    <row r="710" spans="17:19" x14ac:dyDescent="0.2">
      <c r="Q710" s="67"/>
      <c r="R710" s="67"/>
      <c r="S710" s="67"/>
    </row>
    <row r="711" spans="17:19" x14ac:dyDescent="0.2">
      <c r="Q711" s="67"/>
      <c r="R711" s="67"/>
      <c r="S711" s="67"/>
    </row>
    <row r="712" spans="17:19" x14ac:dyDescent="0.2">
      <c r="Q712" s="67"/>
      <c r="R712" s="67"/>
      <c r="S712" s="67"/>
    </row>
    <row r="713" spans="17:19" x14ac:dyDescent="0.2">
      <c r="Q713" s="67"/>
      <c r="R713" s="67"/>
      <c r="S713" s="67"/>
    </row>
    <row r="714" spans="17:19" x14ac:dyDescent="0.2">
      <c r="Q714" s="67"/>
      <c r="R714" s="67"/>
      <c r="S714" s="67"/>
    </row>
    <row r="715" spans="17:19" x14ac:dyDescent="0.2">
      <c r="Q715" s="67"/>
      <c r="R715" s="67"/>
      <c r="S715" s="67"/>
    </row>
    <row r="716" spans="17:19" x14ac:dyDescent="0.2">
      <c r="Q716" s="67"/>
      <c r="R716" s="67"/>
      <c r="S716" s="67"/>
    </row>
    <row r="717" spans="17:19" x14ac:dyDescent="0.2">
      <c r="Q717" s="67"/>
      <c r="R717" s="67"/>
      <c r="S717" s="67"/>
    </row>
    <row r="718" spans="17:19" x14ac:dyDescent="0.2">
      <c r="Q718" s="67"/>
      <c r="R718" s="67"/>
      <c r="S718" s="67"/>
    </row>
    <row r="719" spans="17:19" x14ac:dyDescent="0.2">
      <c r="Q719" s="67"/>
      <c r="R719" s="67"/>
      <c r="S719" s="67"/>
    </row>
    <row r="720" spans="17:19" x14ac:dyDescent="0.2">
      <c r="Q720" s="67"/>
      <c r="R720" s="67"/>
      <c r="S720" s="67"/>
    </row>
    <row r="721" spans="17:19" x14ac:dyDescent="0.2">
      <c r="Q721" s="67"/>
      <c r="R721" s="67"/>
      <c r="S721" s="67"/>
    </row>
    <row r="722" spans="17:19" x14ac:dyDescent="0.2">
      <c r="Q722" s="67"/>
      <c r="R722" s="67"/>
      <c r="S722" s="67"/>
    </row>
    <row r="723" spans="17:19" x14ac:dyDescent="0.2">
      <c r="Q723" s="67"/>
      <c r="R723" s="67"/>
      <c r="S723" s="67"/>
    </row>
    <row r="724" spans="17:19" x14ac:dyDescent="0.2">
      <c r="Q724" s="67"/>
      <c r="R724" s="67"/>
      <c r="S724" s="67"/>
    </row>
    <row r="725" spans="17:19" x14ac:dyDescent="0.2">
      <c r="Q725" s="67"/>
      <c r="R725" s="67"/>
      <c r="S725" s="67"/>
    </row>
    <row r="726" spans="17:19" x14ac:dyDescent="0.2">
      <c r="Q726" s="67"/>
      <c r="R726" s="67"/>
      <c r="S726" s="67"/>
    </row>
    <row r="727" spans="17:19" x14ac:dyDescent="0.2">
      <c r="Q727" s="67"/>
      <c r="R727" s="67"/>
      <c r="S727" s="67"/>
    </row>
    <row r="728" spans="17:19" x14ac:dyDescent="0.2">
      <c r="Q728" s="67"/>
      <c r="R728" s="67"/>
      <c r="S728" s="67"/>
    </row>
    <row r="729" spans="17:19" x14ac:dyDescent="0.2">
      <c r="Q729" s="67"/>
      <c r="R729" s="67"/>
      <c r="S729" s="67"/>
    </row>
    <row r="730" spans="17:19" x14ac:dyDescent="0.2">
      <c r="Q730" s="67"/>
      <c r="R730" s="67"/>
      <c r="S730" s="67"/>
    </row>
    <row r="731" spans="17:19" x14ac:dyDescent="0.2">
      <c r="Q731" s="67"/>
      <c r="R731" s="67"/>
      <c r="S731" s="67"/>
    </row>
    <row r="732" spans="17:19" x14ac:dyDescent="0.2">
      <c r="Q732" s="67"/>
      <c r="R732" s="67"/>
      <c r="S732" s="67"/>
    </row>
    <row r="733" spans="17:19" x14ac:dyDescent="0.2">
      <c r="Q733" s="67"/>
      <c r="R733" s="67"/>
      <c r="S733" s="67"/>
    </row>
    <row r="734" spans="17:19" x14ac:dyDescent="0.2">
      <c r="Q734" s="67"/>
      <c r="R734" s="67"/>
      <c r="S734" s="67"/>
    </row>
    <row r="735" spans="17:19" x14ac:dyDescent="0.2">
      <c r="Q735" s="67"/>
      <c r="R735" s="67"/>
      <c r="S735" s="67"/>
    </row>
    <row r="736" spans="17:19" x14ac:dyDescent="0.2">
      <c r="Q736" s="67"/>
      <c r="R736" s="67"/>
      <c r="S736" s="67"/>
    </row>
    <row r="737" spans="17:19" x14ac:dyDescent="0.2">
      <c r="Q737" s="67"/>
      <c r="R737" s="67"/>
      <c r="S737" s="67"/>
    </row>
    <row r="738" spans="17:19" x14ac:dyDescent="0.2">
      <c r="Q738" s="67"/>
      <c r="R738" s="67"/>
      <c r="S738" s="67"/>
    </row>
    <row r="739" spans="17:19" x14ac:dyDescent="0.2">
      <c r="Q739" s="67"/>
      <c r="R739" s="67"/>
      <c r="S739" s="67"/>
    </row>
    <row r="740" spans="17:19" x14ac:dyDescent="0.2">
      <c r="Q740" s="67"/>
      <c r="R740" s="67"/>
      <c r="S740" s="67"/>
    </row>
    <row r="741" spans="17:19" x14ac:dyDescent="0.2">
      <c r="Q741" s="67"/>
      <c r="R741" s="67"/>
      <c r="S741" s="67"/>
    </row>
    <row r="742" spans="17:19" x14ac:dyDescent="0.2">
      <c r="Q742" s="67"/>
      <c r="R742" s="67"/>
      <c r="S742" s="67"/>
    </row>
    <row r="743" spans="17:19" x14ac:dyDescent="0.2">
      <c r="Q743" s="67"/>
      <c r="R743" s="67"/>
      <c r="S743" s="67"/>
    </row>
    <row r="744" spans="17:19" x14ac:dyDescent="0.2">
      <c r="Q744" s="67"/>
      <c r="R744" s="67"/>
      <c r="S744" s="67"/>
    </row>
    <row r="745" spans="17:19" x14ac:dyDescent="0.2">
      <c r="Q745" s="67"/>
      <c r="R745" s="67"/>
      <c r="S745" s="67"/>
    </row>
    <row r="746" spans="17:19" x14ac:dyDescent="0.2">
      <c r="Q746" s="67"/>
      <c r="R746" s="67"/>
      <c r="S746" s="67"/>
    </row>
    <row r="747" spans="17:19" x14ac:dyDescent="0.2">
      <c r="Q747" s="67"/>
      <c r="R747" s="67"/>
      <c r="S747" s="67"/>
    </row>
    <row r="748" spans="17:19" x14ac:dyDescent="0.2">
      <c r="Q748" s="67"/>
      <c r="R748" s="67"/>
      <c r="S748" s="67"/>
    </row>
    <row r="749" spans="17:19" x14ac:dyDescent="0.2">
      <c r="Q749" s="67"/>
      <c r="R749" s="67"/>
      <c r="S749" s="67"/>
    </row>
    <row r="750" spans="17:19" x14ac:dyDescent="0.2">
      <c r="Q750" s="67"/>
      <c r="R750" s="67"/>
      <c r="S750" s="67"/>
    </row>
    <row r="751" spans="17:19" x14ac:dyDescent="0.2">
      <c r="Q751" s="67"/>
      <c r="R751" s="67"/>
      <c r="S751" s="67"/>
    </row>
    <row r="752" spans="17:19" x14ac:dyDescent="0.2">
      <c r="Q752" s="67"/>
      <c r="R752" s="67"/>
      <c r="S752" s="67"/>
    </row>
    <row r="753" spans="17:19" x14ac:dyDescent="0.2">
      <c r="Q753" s="67"/>
      <c r="R753" s="67"/>
      <c r="S753" s="67"/>
    </row>
    <row r="754" spans="17:19" x14ac:dyDescent="0.2">
      <c r="Q754" s="67"/>
      <c r="R754" s="67"/>
      <c r="S754" s="67"/>
    </row>
    <row r="755" spans="17:19" x14ac:dyDescent="0.2">
      <c r="Q755" s="67"/>
      <c r="R755" s="67"/>
      <c r="S755" s="67"/>
    </row>
    <row r="756" spans="17:19" x14ac:dyDescent="0.2">
      <c r="Q756" s="67"/>
      <c r="R756" s="67"/>
      <c r="S756" s="67"/>
    </row>
    <row r="757" spans="17:19" x14ac:dyDescent="0.2">
      <c r="Q757" s="67"/>
      <c r="R757" s="67"/>
      <c r="S757" s="67"/>
    </row>
    <row r="758" spans="17:19" x14ac:dyDescent="0.2">
      <c r="Q758" s="67"/>
      <c r="R758" s="67"/>
      <c r="S758" s="67"/>
    </row>
    <row r="759" spans="17:19" x14ac:dyDescent="0.2">
      <c r="Q759" s="67"/>
      <c r="R759" s="67"/>
      <c r="S759" s="67"/>
    </row>
    <row r="760" spans="17:19" x14ac:dyDescent="0.2">
      <c r="Q760" s="67"/>
      <c r="R760" s="67"/>
      <c r="S760" s="67"/>
    </row>
    <row r="761" spans="17:19" x14ac:dyDescent="0.2">
      <c r="Q761" s="67"/>
      <c r="R761" s="67"/>
      <c r="S761" s="67"/>
    </row>
    <row r="762" spans="17:19" x14ac:dyDescent="0.2">
      <c r="Q762" s="67"/>
      <c r="R762" s="67"/>
      <c r="S762" s="67"/>
    </row>
    <row r="763" spans="17:19" x14ac:dyDescent="0.2">
      <c r="Q763" s="67"/>
      <c r="R763" s="67"/>
      <c r="S763" s="67"/>
    </row>
    <row r="764" spans="17:19" x14ac:dyDescent="0.2">
      <c r="Q764" s="67"/>
      <c r="R764" s="67"/>
      <c r="S764" s="67"/>
    </row>
    <row r="765" spans="17:19" x14ac:dyDescent="0.2">
      <c r="Q765" s="67"/>
      <c r="R765" s="67"/>
      <c r="S765" s="67"/>
    </row>
    <row r="766" spans="17:19" x14ac:dyDescent="0.2">
      <c r="Q766" s="67"/>
      <c r="R766" s="67"/>
      <c r="S766" s="67"/>
    </row>
    <row r="767" spans="17:19" x14ac:dyDescent="0.2">
      <c r="Q767" s="67"/>
      <c r="R767" s="67"/>
      <c r="S767" s="67"/>
    </row>
    <row r="768" spans="17:19" x14ac:dyDescent="0.2">
      <c r="Q768" s="67"/>
      <c r="R768" s="67"/>
      <c r="S768" s="67"/>
    </row>
    <row r="769" spans="17:19" x14ac:dyDescent="0.2">
      <c r="Q769" s="67"/>
      <c r="R769" s="67"/>
      <c r="S769" s="67"/>
    </row>
    <row r="770" spans="17:19" x14ac:dyDescent="0.2">
      <c r="Q770" s="67"/>
      <c r="R770" s="67"/>
      <c r="S770" s="67"/>
    </row>
    <row r="771" spans="17:19" x14ac:dyDescent="0.2">
      <c r="Q771" s="67"/>
      <c r="R771" s="67"/>
      <c r="S771" s="67"/>
    </row>
    <row r="772" spans="17:19" x14ac:dyDescent="0.2">
      <c r="Q772" s="67"/>
      <c r="R772" s="67"/>
      <c r="S772" s="67"/>
    </row>
    <row r="773" spans="17:19" x14ac:dyDescent="0.2">
      <c r="Q773" s="67"/>
      <c r="R773" s="67"/>
      <c r="S773" s="67"/>
    </row>
    <row r="774" spans="17:19" x14ac:dyDescent="0.2">
      <c r="Q774" s="67"/>
      <c r="R774" s="67"/>
      <c r="S774" s="67"/>
    </row>
    <row r="775" spans="17:19" x14ac:dyDescent="0.2">
      <c r="Q775" s="67"/>
      <c r="R775" s="67"/>
      <c r="S775" s="67"/>
    </row>
    <row r="776" spans="17:19" x14ac:dyDescent="0.2">
      <c r="Q776" s="67"/>
      <c r="R776" s="67"/>
      <c r="S776" s="67"/>
    </row>
    <row r="777" spans="17:19" x14ac:dyDescent="0.2">
      <c r="Q777" s="67"/>
      <c r="R777" s="67"/>
      <c r="S777" s="67"/>
    </row>
    <row r="778" spans="17:19" x14ac:dyDescent="0.2">
      <c r="Q778" s="67"/>
      <c r="R778" s="67"/>
      <c r="S778" s="67"/>
    </row>
    <row r="779" spans="17:19" x14ac:dyDescent="0.2">
      <c r="Q779" s="67"/>
      <c r="R779" s="67"/>
      <c r="S779" s="67"/>
    </row>
    <row r="780" spans="17:19" x14ac:dyDescent="0.2">
      <c r="Q780" s="67"/>
      <c r="R780" s="67"/>
      <c r="S780" s="67"/>
    </row>
    <row r="781" spans="17:19" x14ac:dyDescent="0.2">
      <c r="Q781" s="67"/>
      <c r="R781" s="67"/>
      <c r="S781" s="67"/>
    </row>
    <row r="782" spans="17:19" x14ac:dyDescent="0.2">
      <c r="Q782" s="67"/>
      <c r="R782" s="67"/>
      <c r="S782" s="67"/>
    </row>
    <row r="783" spans="17:19" x14ac:dyDescent="0.2">
      <c r="Q783" s="67"/>
      <c r="R783" s="67"/>
      <c r="S783" s="67"/>
    </row>
    <row r="784" spans="17:19" x14ac:dyDescent="0.2">
      <c r="Q784" s="67"/>
      <c r="R784" s="67"/>
      <c r="S784" s="67"/>
    </row>
    <row r="785" spans="17:19" x14ac:dyDescent="0.2">
      <c r="Q785" s="67"/>
      <c r="R785" s="67"/>
      <c r="S785" s="67"/>
    </row>
    <row r="786" spans="17:19" x14ac:dyDescent="0.2">
      <c r="Q786" s="67"/>
      <c r="R786" s="67"/>
      <c r="S786" s="67"/>
    </row>
    <row r="787" spans="17:19" x14ac:dyDescent="0.2">
      <c r="Q787" s="67"/>
      <c r="R787" s="67"/>
      <c r="S787" s="67"/>
    </row>
    <row r="788" spans="17:19" x14ac:dyDescent="0.2">
      <c r="Q788" s="67"/>
      <c r="R788" s="67"/>
      <c r="S788" s="67"/>
    </row>
    <row r="789" spans="17:19" x14ac:dyDescent="0.2">
      <c r="Q789" s="67"/>
      <c r="R789" s="67"/>
      <c r="S789" s="67"/>
    </row>
    <row r="790" spans="17:19" x14ac:dyDescent="0.2">
      <c r="Q790" s="67"/>
      <c r="R790" s="67"/>
      <c r="S790" s="67"/>
    </row>
    <row r="791" spans="17:19" x14ac:dyDescent="0.2">
      <c r="Q791" s="67"/>
      <c r="R791" s="67"/>
      <c r="S791" s="67"/>
    </row>
    <row r="792" spans="17:19" x14ac:dyDescent="0.2">
      <c r="Q792" s="67"/>
      <c r="R792" s="67"/>
      <c r="S792" s="67"/>
    </row>
    <row r="793" spans="17:19" x14ac:dyDescent="0.2">
      <c r="Q793" s="67"/>
      <c r="R793" s="67"/>
      <c r="S793" s="67"/>
    </row>
    <row r="794" spans="17:19" x14ac:dyDescent="0.2">
      <c r="Q794" s="67"/>
      <c r="R794" s="67"/>
      <c r="S794" s="67"/>
    </row>
    <row r="795" spans="17:19" x14ac:dyDescent="0.2">
      <c r="Q795" s="67"/>
      <c r="R795" s="67"/>
      <c r="S795" s="67"/>
    </row>
    <row r="796" spans="17:19" x14ac:dyDescent="0.2">
      <c r="Q796" s="67"/>
      <c r="R796" s="67"/>
      <c r="S796" s="67"/>
    </row>
    <row r="797" spans="17:19" x14ac:dyDescent="0.2">
      <c r="Q797" s="67"/>
      <c r="R797" s="67"/>
      <c r="S797" s="67"/>
    </row>
    <row r="798" spans="17:19" x14ac:dyDescent="0.2">
      <c r="Q798" s="67"/>
      <c r="R798" s="67"/>
      <c r="S798" s="67"/>
    </row>
    <row r="799" spans="17:19" x14ac:dyDescent="0.2">
      <c r="Q799" s="67"/>
      <c r="R799" s="67"/>
      <c r="S799" s="67"/>
    </row>
    <row r="800" spans="17:19" x14ac:dyDescent="0.2">
      <c r="Q800" s="67"/>
      <c r="R800" s="67"/>
      <c r="S800" s="67"/>
    </row>
    <row r="801" spans="17:19" x14ac:dyDescent="0.2">
      <c r="Q801" s="67"/>
      <c r="R801" s="67"/>
      <c r="S801" s="67"/>
    </row>
    <row r="802" spans="17:19" x14ac:dyDescent="0.2">
      <c r="Q802" s="67"/>
      <c r="R802" s="67"/>
      <c r="S802" s="67"/>
    </row>
    <row r="803" spans="17:19" x14ac:dyDescent="0.2">
      <c r="Q803" s="67"/>
      <c r="R803" s="67"/>
      <c r="S803" s="67"/>
    </row>
    <row r="804" spans="17:19" x14ac:dyDescent="0.2">
      <c r="Q804" s="67"/>
      <c r="R804" s="67"/>
      <c r="S804" s="67"/>
    </row>
    <row r="805" spans="17:19" x14ac:dyDescent="0.2">
      <c r="Q805" s="67"/>
      <c r="R805" s="67"/>
      <c r="S805" s="67"/>
    </row>
    <row r="806" spans="17:19" x14ac:dyDescent="0.2">
      <c r="Q806" s="67"/>
      <c r="R806" s="67"/>
      <c r="S806" s="67"/>
    </row>
    <row r="807" spans="17:19" x14ac:dyDescent="0.2">
      <c r="Q807" s="67"/>
      <c r="R807" s="67"/>
      <c r="S807" s="67"/>
    </row>
    <row r="808" spans="17:19" x14ac:dyDescent="0.2">
      <c r="Q808" s="67"/>
      <c r="R808" s="67"/>
      <c r="S808" s="67"/>
    </row>
    <row r="809" spans="17:19" x14ac:dyDescent="0.2">
      <c r="Q809" s="67"/>
      <c r="R809" s="67"/>
      <c r="S809" s="67"/>
    </row>
    <row r="810" spans="17:19" x14ac:dyDescent="0.2">
      <c r="Q810" s="67"/>
      <c r="R810" s="67"/>
      <c r="S810" s="67"/>
    </row>
    <row r="811" spans="17:19" x14ac:dyDescent="0.2">
      <c r="Q811" s="67"/>
      <c r="R811" s="67"/>
      <c r="S811" s="67"/>
    </row>
    <row r="812" spans="17:19" x14ac:dyDescent="0.2">
      <c r="Q812" s="67"/>
      <c r="R812" s="67"/>
      <c r="S812" s="67"/>
    </row>
    <row r="813" spans="17:19" x14ac:dyDescent="0.2">
      <c r="Q813" s="67"/>
      <c r="R813" s="67"/>
      <c r="S813" s="67"/>
    </row>
    <row r="814" spans="17:19" x14ac:dyDescent="0.2">
      <c r="Q814" s="67"/>
      <c r="R814" s="67"/>
      <c r="S814" s="67"/>
    </row>
    <row r="815" spans="17:19" x14ac:dyDescent="0.2">
      <c r="Q815" s="67"/>
      <c r="R815" s="67"/>
      <c r="S815" s="67"/>
    </row>
    <row r="816" spans="17:19" x14ac:dyDescent="0.2">
      <c r="Q816" s="67"/>
      <c r="R816" s="67"/>
      <c r="S816" s="67"/>
    </row>
    <row r="817" spans="17:19" x14ac:dyDescent="0.2">
      <c r="Q817" s="67"/>
      <c r="R817" s="67"/>
      <c r="S817" s="67"/>
    </row>
    <row r="818" spans="17:19" x14ac:dyDescent="0.2">
      <c r="Q818" s="67"/>
      <c r="R818" s="67"/>
      <c r="S818" s="67"/>
    </row>
    <row r="819" spans="17:19" x14ac:dyDescent="0.2">
      <c r="Q819" s="67"/>
      <c r="R819" s="67"/>
      <c r="S819" s="67"/>
    </row>
    <row r="820" spans="17:19" x14ac:dyDescent="0.2">
      <c r="Q820" s="67"/>
      <c r="R820" s="67"/>
      <c r="S820" s="67"/>
    </row>
    <row r="821" spans="17:19" x14ac:dyDescent="0.2">
      <c r="Q821" s="67"/>
      <c r="R821" s="67"/>
      <c r="S821" s="67"/>
    </row>
    <row r="822" spans="17:19" x14ac:dyDescent="0.2">
      <c r="Q822" s="67"/>
      <c r="R822" s="67"/>
      <c r="S822" s="67"/>
    </row>
    <row r="823" spans="17:19" x14ac:dyDescent="0.2">
      <c r="Q823" s="67"/>
      <c r="R823" s="67"/>
      <c r="S823" s="67"/>
    </row>
    <row r="824" spans="17:19" x14ac:dyDescent="0.2">
      <c r="Q824" s="67"/>
      <c r="R824" s="67"/>
      <c r="S824" s="67"/>
    </row>
    <row r="825" spans="17:19" x14ac:dyDescent="0.2">
      <c r="Q825" s="67"/>
      <c r="R825" s="67"/>
      <c r="S825" s="67"/>
    </row>
    <row r="826" spans="17:19" x14ac:dyDescent="0.2">
      <c r="Q826" s="67"/>
      <c r="R826" s="67"/>
      <c r="S826" s="67"/>
    </row>
    <row r="827" spans="17:19" x14ac:dyDescent="0.2">
      <c r="Q827" s="67"/>
      <c r="R827" s="67"/>
      <c r="S827" s="67"/>
    </row>
    <row r="828" spans="17:19" x14ac:dyDescent="0.2">
      <c r="Q828" s="67"/>
      <c r="R828" s="67"/>
      <c r="S828" s="67"/>
    </row>
    <row r="829" spans="17:19" x14ac:dyDescent="0.2">
      <c r="Q829" s="67"/>
      <c r="R829" s="67"/>
      <c r="S829" s="67"/>
    </row>
    <row r="830" spans="17:19" x14ac:dyDescent="0.2">
      <c r="Q830" s="67"/>
      <c r="R830" s="67"/>
      <c r="S830" s="67"/>
    </row>
    <row r="831" spans="17:19" x14ac:dyDescent="0.2">
      <c r="Q831" s="67"/>
      <c r="R831" s="67"/>
      <c r="S831" s="67"/>
    </row>
    <row r="832" spans="17:19" x14ac:dyDescent="0.2">
      <c r="Q832" s="67"/>
      <c r="R832" s="67"/>
      <c r="S832" s="67"/>
    </row>
    <row r="833" spans="17:19" x14ac:dyDescent="0.2">
      <c r="Q833" s="67"/>
      <c r="R833" s="67"/>
      <c r="S833" s="67"/>
    </row>
    <row r="834" spans="17:19" x14ac:dyDescent="0.2">
      <c r="Q834" s="67"/>
      <c r="R834" s="67"/>
      <c r="S834" s="67"/>
    </row>
    <row r="835" spans="17:19" x14ac:dyDescent="0.2">
      <c r="Q835" s="67"/>
      <c r="R835" s="67"/>
      <c r="S835" s="67"/>
    </row>
    <row r="836" spans="17:19" x14ac:dyDescent="0.2">
      <c r="Q836" s="67"/>
      <c r="R836" s="67"/>
      <c r="S836" s="67"/>
    </row>
    <row r="837" spans="17:19" x14ac:dyDescent="0.2">
      <c r="Q837" s="67"/>
      <c r="R837" s="67"/>
      <c r="S837" s="67"/>
    </row>
    <row r="838" spans="17:19" x14ac:dyDescent="0.2">
      <c r="Q838" s="67"/>
      <c r="R838" s="67"/>
      <c r="S838" s="67"/>
    </row>
    <row r="839" spans="17:19" x14ac:dyDescent="0.2">
      <c r="Q839" s="67"/>
      <c r="R839" s="67"/>
      <c r="S839" s="67"/>
    </row>
    <row r="840" spans="17:19" x14ac:dyDescent="0.2">
      <c r="Q840" s="67"/>
      <c r="R840" s="67"/>
      <c r="S840" s="67"/>
    </row>
    <row r="841" spans="17:19" x14ac:dyDescent="0.2">
      <c r="Q841" s="67"/>
      <c r="R841" s="67"/>
      <c r="S841" s="67"/>
    </row>
    <row r="842" spans="17:19" x14ac:dyDescent="0.2">
      <c r="Q842" s="67"/>
      <c r="R842" s="67"/>
      <c r="S842" s="67"/>
    </row>
    <row r="843" spans="17:19" x14ac:dyDescent="0.2">
      <c r="Q843" s="67"/>
      <c r="R843" s="67"/>
      <c r="S843" s="67"/>
    </row>
    <row r="844" spans="17:19" x14ac:dyDescent="0.2">
      <c r="Q844" s="67"/>
      <c r="R844" s="67"/>
      <c r="S844" s="67"/>
    </row>
    <row r="845" spans="17:19" x14ac:dyDescent="0.2">
      <c r="Q845" s="67"/>
      <c r="R845" s="67"/>
      <c r="S845" s="67"/>
    </row>
    <row r="846" spans="17:19" x14ac:dyDescent="0.2">
      <c r="Q846" s="67"/>
      <c r="R846" s="67"/>
      <c r="S846" s="67"/>
    </row>
    <row r="847" spans="17:19" x14ac:dyDescent="0.2">
      <c r="Q847" s="67"/>
      <c r="R847" s="67"/>
      <c r="S847" s="67"/>
    </row>
    <row r="848" spans="17:19" x14ac:dyDescent="0.2">
      <c r="Q848" s="67"/>
      <c r="R848" s="67"/>
      <c r="S848" s="67"/>
    </row>
    <row r="849" spans="17:19" x14ac:dyDescent="0.2">
      <c r="Q849" s="67"/>
      <c r="R849" s="67"/>
      <c r="S849" s="67"/>
    </row>
    <row r="850" spans="17:19" x14ac:dyDescent="0.2">
      <c r="Q850" s="67"/>
      <c r="R850" s="67"/>
      <c r="S850" s="67"/>
    </row>
    <row r="851" spans="17:19" x14ac:dyDescent="0.2">
      <c r="Q851" s="67"/>
      <c r="R851" s="67"/>
      <c r="S851" s="67"/>
    </row>
    <row r="852" spans="17:19" x14ac:dyDescent="0.2">
      <c r="Q852" s="67"/>
      <c r="R852" s="67"/>
      <c r="S852" s="67"/>
    </row>
    <row r="853" spans="17:19" x14ac:dyDescent="0.2">
      <c r="Q853" s="67"/>
      <c r="R853" s="67"/>
      <c r="S853" s="67"/>
    </row>
    <row r="854" spans="17:19" x14ac:dyDescent="0.2">
      <c r="Q854" s="67"/>
      <c r="R854" s="67"/>
      <c r="S854" s="67"/>
    </row>
    <row r="855" spans="17:19" x14ac:dyDescent="0.2">
      <c r="Q855" s="67"/>
      <c r="R855" s="67"/>
      <c r="S855" s="67"/>
    </row>
    <row r="856" spans="17:19" x14ac:dyDescent="0.2">
      <c r="Q856" s="67"/>
      <c r="R856" s="67"/>
      <c r="S856" s="67"/>
    </row>
    <row r="857" spans="17:19" x14ac:dyDescent="0.2">
      <c r="Q857" s="67"/>
      <c r="R857" s="67"/>
      <c r="S857" s="67"/>
    </row>
    <row r="858" spans="17:19" x14ac:dyDescent="0.2">
      <c r="Q858" s="67"/>
      <c r="R858" s="67"/>
      <c r="S858" s="67"/>
    </row>
    <row r="859" spans="17:19" x14ac:dyDescent="0.2">
      <c r="Q859" s="67"/>
      <c r="R859" s="67"/>
      <c r="S859" s="67"/>
    </row>
    <row r="860" spans="17:19" x14ac:dyDescent="0.2">
      <c r="Q860" s="67"/>
      <c r="R860" s="67"/>
      <c r="S860" s="67"/>
    </row>
    <row r="861" spans="17:19" x14ac:dyDescent="0.2">
      <c r="Q861" s="67"/>
      <c r="R861" s="67"/>
      <c r="S861" s="67"/>
    </row>
    <row r="862" spans="17:19" x14ac:dyDescent="0.2">
      <c r="Q862" s="67"/>
      <c r="R862" s="67"/>
      <c r="S862" s="67"/>
    </row>
    <row r="863" spans="17:19" x14ac:dyDescent="0.2">
      <c r="Q863" s="67"/>
      <c r="R863" s="67"/>
      <c r="S863" s="67"/>
    </row>
    <row r="864" spans="17:19" x14ac:dyDescent="0.2">
      <c r="Q864" s="67"/>
      <c r="R864" s="67"/>
      <c r="S864" s="67"/>
    </row>
    <row r="865" spans="17:19" x14ac:dyDescent="0.2">
      <c r="Q865" s="67"/>
      <c r="R865" s="67"/>
      <c r="S865" s="67"/>
    </row>
    <row r="866" spans="17:19" x14ac:dyDescent="0.2">
      <c r="Q866" s="67"/>
      <c r="R866" s="67"/>
      <c r="S866" s="67"/>
    </row>
    <row r="867" spans="17:19" x14ac:dyDescent="0.2">
      <c r="Q867" s="67"/>
      <c r="R867" s="67"/>
      <c r="S867" s="67"/>
    </row>
    <row r="868" spans="17:19" x14ac:dyDescent="0.2">
      <c r="Q868" s="67"/>
      <c r="R868" s="67"/>
      <c r="S868" s="67"/>
    </row>
    <row r="869" spans="17:19" x14ac:dyDescent="0.2">
      <c r="Q869" s="67"/>
      <c r="R869" s="67"/>
      <c r="S869" s="67"/>
    </row>
    <row r="870" spans="17:19" x14ac:dyDescent="0.2">
      <c r="Q870" s="67"/>
      <c r="R870" s="67"/>
      <c r="S870" s="67"/>
    </row>
    <row r="871" spans="17:19" x14ac:dyDescent="0.2">
      <c r="Q871" s="67"/>
      <c r="R871" s="67"/>
      <c r="S871" s="67"/>
    </row>
    <row r="872" spans="17:19" x14ac:dyDescent="0.2">
      <c r="Q872" s="67"/>
      <c r="R872" s="67"/>
      <c r="S872" s="67"/>
    </row>
    <row r="873" spans="17:19" x14ac:dyDescent="0.2">
      <c r="Q873" s="67"/>
      <c r="R873" s="67"/>
      <c r="S873" s="67"/>
    </row>
    <row r="874" spans="17:19" x14ac:dyDescent="0.2">
      <c r="Q874" s="67"/>
      <c r="R874" s="67"/>
      <c r="S874" s="67"/>
    </row>
    <row r="875" spans="17:19" x14ac:dyDescent="0.2">
      <c r="Q875" s="67"/>
      <c r="R875" s="67"/>
      <c r="S875" s="67"/>
    </row>
    <row r="876" spans="17:19" x14ac:dyDescent="0.2">
      <c r="Q876" s="67"/>
      <c r="R876" s="67"/>
      <c r="S876" s="67"/>
    </row>
    <row r="877" spans="17:19" x14ac:dyDescent="0.2">
      <c r="Q877" s="67"/>
      <c r="R877" s="67"/>
      <c r="S877" s="67"/>
    </row>
    <row r="878" spans="17:19" x14ac:dyDescent="0.2">
      <c r="Q878" s="67"/>
      <c r="R878" s="67"/>
      <c r="S878" s="67"/>
    </row>
    <row r="879" spans="17:19" x14ac:dyDescent="0.2">
      <c r="Q879" s="67"/>
      <c r="R879" s="67"/>
      <c r="S879" s="67"/>
    </row>
    <row r="880" spans="17:19" x14ac:dyDescent="0.2">
      <c r="Q880" s="67"/>
      <c r="R880" s="67"/>
      <c r="S880" s="67"/>
    </row>
    <row r="881" spans="17:19" x14ac:dyDescent="0.2">
      <c r="Q881" s="67"/>
      <c r="R881" s="67"/>
      <c r="S881" s="67"/>
    </row>
    <row r="882" spans="17:19" x14ac:dyDescent="0.2">
      <c r="Q882" s="67"/>
      <c r="R882" s="67"/>
      <c r="S882" s="67"/>
    </row>
    <row r="883" spans="17:19" x14ac:dyDescent="0.2">
      <c r="Q883" s="67"/>
      <c r="R883" s="67"/>
      <c r="S883" s="67"/>
    </row>
    <row r="884" spans="17:19" x14ac:dyDescent="0.2">
      <c r="Q884" s="67"/>
      <c r="R884" s="67"/>
      <c r="S884" s="67"/>
    </row>
    <row r="885" spans="17:19" x14ac:dyDescent="0.2">
      <c r="Q885" s="67"/>
      <c r="R885" s="67"/>
      <c r="S885" s="67"/>
    </row>
    <row r="886" spans="17:19" x14ac:dyDescent="0.2">
      <c r="Q886" s="67"/>
      <c r="R886" s="67"/>
      <c r="S886" s="67"/>
    </row>
    <row r="887" spans="17:19" x14ac:dyDescent="0.2">
      <c r="Q887" s="67"/>
      <c r="R887" s="67"/>
      <c r="S887" s="67"/>
    </row>
    <row r="888" spans="17:19" x14ac:dyDescent="0.2">
      <c r="Q888" s="67"/>
      <c r="R888" s="67"/>
      <c r="S888" s="67"/>
    </row>
    <row r="889" spans="17:19" x14ac:dyDescent="0.2">
      <c r="Q889" s="67"/>
      <c r="R889" s="67"/>
      <c r="S889" s="67"/>
    </row>
    <row r="890" spans="17:19" x14ac:dyDescent="0.2">
      <c r="Q890" s="67"/>
      <c r="R890" s="67"/>
      <c r="S890" s="67"/>
    </row>
    <row r="891" spans="17:19" x14ac:dyDescent="0.2">
      <c r="Q891" s="67"/>
      <c r="R891" s="67"/>
      <c r="S891" s="67"/>
    </row>
    <row r="892" spans="17:19" x14ac:dyDescent="0.2">
      <c r="Q892" s="67"/>
      <c r="R892" s="67"/>
      <c r="S892" s="67"/>
    </row>
    <row r="893" spans="17:19" x14ac:dyDescent="0.2">
      <c r="Q893" s="67"/>
      <c r="R893" s="67"/>
      <c r="S893" s="67"/>
    </row>
    <row r="894" spans="17:19" x14ac:dyDescent="0.2">
      <c r="Q894" s="67"/>
      <c r="R894" s="67"/>
      <c r="S894" s="67"/>
    </row>
    <row r="895" spans="17:19" x14ac:dyDescent="0.2">
      <c r="Q895" s="67"/>
      <c r="R895" s="67"/>
      <c r="S895" s="67"/>
    </row>
    <row r="896" spans="17:19" x14ac:dyDescent="0.2">
      <c r="Q896" s="67"/>
      <c r="R896" s="67"/>
      <c r="S896" s="67"/>
    </row>
    <row r="897" spans="17:19" x14ac:dyDescent="0.2">
      <c r="Q897" s="67"/>
      <c r="R897" s="67"/>
      <c r="S897" s="67"/>
    </row>
    <row r="898" spans="17:19" x14ac:dyDescent="0.2">
      <c r="Q898" s="67"/>
      <c r="R898" s="67"/>
      <c r="S898" s="67"/>
    </row>
    <row r="899" spans="17:19" x14ac:dyDescent="0.2">
      <c r="Q899" s="67"/>
      <c r="R899" s="67"/>
      <c r="S899" s="67"/>
    </row>
    <row r="900" spans="17:19" x14ac:dyDescent="0.2">
      <c r="Q900" s="67"/>
      <c r="R900" s="67"/>
      <c r="S900" s="67"/>
    </row>
    <row r="901" spans="17:19" x14ac:dyDescent="0.2">
      <c r="Q901" s="67"/>
      <c r="R901" s="67"/>
      <c r="S901" s="67"/>
    </row>
    <row r="902" spans="17:19" x14ac:dyDescent="0.2">
      <c r="Q902" s="67"/>
      <c r="R902" s="67"/>
      <c r="S902" s="67"/>
    </row>
    <row r="903" spans="17:19" x14ac:dyDescent="0.2">
      <c r="Q903" s="67"/>
      <c r="R903" s="67"/>
      <c r="S903" s="67"/>
    </row>
    <row r="904" spans="17:19" x14ac:dyDescent="0.2">
      <c r="Q904" s="67"/>
      <c r="R904" s="67"/>
      <c r="S904" s="67"/>
    </row>
    <row r="905" spans="17:19" x14ac:dyDescent="0.2">
      <c r="Q905" s="67"/>
      <c r="R905" s="67"/>
      <c r="S905" s="67"/>
    </row>
    <row r="906" spans="17:19" x14ac:dyDescent="0.2">
      <c r="Q906" s="67"/>
      <c r="R906" s="67"/>
      <c r="S906" s="67"/>
    </row>
    <row r="907" spans="17:19" x14ac:dyDescent="0.2">
      <c r="Q907" s="67"/>
      <c r="R907" s="67"/>
      <c r="S907" s="67"/>
    </row>
    <row r="908" spans="17:19" x14ac:dyDescent="0.2">
      <c r="Q908" s="67"/>
      <c r="R908" s="67"/>
      <c r="S908" s="67"/>
    </row>
    <row r="909" spans="17:19" x14ac:dyDescent="0.2">
      <c r="Q909" s="67"/>
      <c r="R909" s="67"/>
      <c r="S909" s="67"/>
    </row>
    <row r="910" spans="17:19" x14ac:dyDescent="0.2">
      <c r="Q910" s="67"/>
      <c r="R910" s="67"/>
      <c r="S910" s="67"/>
    </row>
    <row r="911" spans="17:19" x14ac:dyDescent="0.2">
      <c r="Q911" s="67"/>
      <c r="R911" s="67"/>
      <c r="S911" s="67"/>
    </row>
    <row r="912" spans="17:19" x14ac:dyDescent="0.2">
      <c r="Q912" s="67"/>
      <c r="R912" s="67"/>
      <c r="S912" s="67"/>
    </row>
    <row r="913" spans="17:19" x14ac:dyDescent="0.2">
      <c r="Q913" s="67"/>
      <c r="R913" s="67"/>
      <c r="S913" s="67"/>
    </row>
    <row r="914" spans="17:19" x14ac:dyDescent="0.2">
      <c r="Q914" s="67"/>
      <c r="R914" s="67"/>
      <c r="S914" s="67"/>
    </row>
    <row r="915" spans="17:19" x14ac:dyDescent="0.2">
      <c r="Q915" s="67"/>
      <c r="R915" s="67"/>
      <c r="S915" s="67"/>
    </row>
    <row r="916" spans="17:19" x14ac:dyDescent="0.2">
      <c r="Q916" s="67"/>
      <c r="R916" s="67"/>
      <c r="S916" s="67"/>
    </row>
    <row r="917" spans="17:19" x14ac:dyDescent="0.2">
      <c r="Q917" s="67"/>
      <c r="R917" s="67"/>
      <c r="S917" s="67"/>
    </row>
    <row r="918" spans="17:19" x14ac:dyDescent="0.2">
      <c r="Q918" s="67"/>
      <c r="R918" s="67"/>
      <c r="S918" s="67"/>
    </row>
    <row r="919" spans="17:19" x14ac:dyDescent="0.2">
      <c r="Q919" s="67"/>
      <c r="R919" s="67"/>
      <c r="S919" s="67"/>
    </row>
    <row r="920" spans="17:19" x14ac:dyDescent="0.2">
      <c r="Q920" s="67"/>
      <c r="R920" s="67"/>
      <c r="S920" s="67"/>
    </row>
    <row r="921" spans="17:19" x14ac:dyDescent="0.2">
      <c r="Q921" s="67"/>
      <c r="R921" s="67"/>
      <c r="S921" s="67"/>
    </row>
    <row r="922" spans="17:19" x14ac:dyDescent="0.2">
      <c r="Q922" s="67"/>
      <c r="R922" s="67"/>
      <c r="S922" s="67"/>
    </row>
    <row r="923" spans="17:19" x14ac:dyDescent="0.2">
      <c r="Q923" s="67"/>
      <c r="R923" s="67"/>
      <c r="S923" s="67"/>
    </row>
    <row r="924" spans="17:19" x14ac:dyDescent="0.2">
      <c r="Q924" s="67"/>
      <c r="R924" s="67"/>
      <c r="S924" s="67"/>
    </row>
    <row r="925" spans="17:19" x14ac:dyDescent="0.2">
      <c r="Q925" s="67"/>
      <c r="R925" s="67"/>
      <c r="S925" s="67"/>
    </row>
    <row r="926" spans="17:19" x14ac:dyDescent="0.2">
      <c r="Q926" s="67"/>
      <c r="R926" s="67"/>
      <c r="S926" s="67"/>
    </row>
    <row r="927" spans="17:19" x14ac:dyDescent="0.2">
      <c r="Q927" s="67"/>
      <c r="R927" s="67"/>
      <c r="S927" s="67"/>
    </row>
    <row r="928" spans="17:19" x14ac:dyDescent="0.2">
      <c r="Q928" s="67"/>
      <c r="R928" s="67"/>
      <c r="S928" s="67"/>
    </row>
    <row r="929" spans="17:19" x14ac:dyDescent="0.2">
      <c r="Q929" s="67"/>
      <c r="R929" s="67"/>
      <c r="S929" s="67"/>
    </row>
    <row r="930" spans="17:19" x14ac:dyDescent="0.2">
      <c r="Q930" s="67"/>
      <c r="R930" s="67"/>
      <c r="S930" s="67"/>
    </row>
    <row r="931" spans="17:19" x14ac:dyDescent="0.2">
      <c r="Q931" s="67"/>
      <c r="R931" s="67"/>
      <c r="S931" s="67"/>
    </row>
    <row r="932" spans="17:19" x14ac:dyDescent="0.2">
      <c r="Q932" s="67"/>
      <c r="R932" s="67"/>
      <c r="S932" s="67"/>
    </row>
    <row r="933" spans="17:19" x14ac:dyDescent="0.2">
      <c r="Q933" s="67"/>
      <c r="R933" s="67"/>
      <c r="S933" s="67"/>
    </row>
    <row r="934" spans="17:19" x14ac:dyDescent="0.2">
      <c r="Q934" s="67"/>
      <c r="R934" s="67"/>
      <c r="S934" s="67"/>
    </row>
    <row r="935" spans="17:19" x14ac:dyDescent="0.2">
      <c r="Q935" s="67"/>
      <c r="R935" s="67"/>
      <c r="S935" s="67"/>
    </row>
    <row r="936" spans="17:19" x14ac:dyDescent="0.2">
      <c r="Q936" s="67"/>
      <c r="R936" s="67"/>
      <c r="S936" s="67"/>
    </row>
    <row r="937" spans="17:19" x14ac:dyDescent="0.2">
      <c r="Q937" s="67"/>
      <c r="R937" s="67"/>
      <c r="S937" s="67"/>
    </row>
    <row r="938" spans="17:19" x14ac:dyDescent="0.2">
      <c r="Q938" s="67"/>
      <c r="R938" s="67"/>
      <c r="S938" s="67"/>
    </row>
    <row r="939" spans="17:19" x14ac:dyDescent="0.2">
      <c r="Q939" s="67"/>
      <c r="R939" s="67"/>
      <c r="S939" s="67"/>
    </row>
    <row r="940" spans="17:19" x14ac:dyDescent="0.2">
      <c r="Q940" s="67"/>
      <c r="R940" s="67"/>
      <c r="S940" s="67"/>
    </row>
    <row r="941" spans="17:19" x14ac:dyDescent="0.2">
      <c r="Q941" s="67"/>
      <c r="R941" s="67"/>
      <c r="S941" s="67"/>
    </row>
    <row r="942" spans="17:19" x14ac:dyDescent="0.2">
      <c r="Q942" s="67"/>
      <c r="R942" s="67"/>
      <c r="S942" s="67"/>
    </row>
    <row r="943" spans="17:19" x14ac:dyDescent="0.2">
      <c r="Q943" s="67"/>
      <c r="R943" s="67"/>
      <c r="S943" s="67"/>
    </row>
    <row r="944" spans="17:19" x14ac:dyDescent="0.2">
      <c r="Q944" s="67"/>
      <c r="R944" s="67"/>
      <c r="S944" s="67"/>
    </row>
    <row r="945" spans="17:19" x14ac:dyDescent="0.2">
      <c r="Q945" s="67"/>
      <c r="R945" s="67"/>
      <c r="S945" s="67"/>
    </row>
    <row r="946" spans="17:19" x14ac:dyDescent="0.2">
      <c r="Q946" s="67"/>
      <c r="R946" s="67"/>
      <c r="S946" s="67"/>
    </row>
    <row r="947" spans="17:19" x14ac:dyDescent="0.2">
      <c r="Q947" s="67"/>
      <c r="R947" s="67"/>
      <c r="S947" s="67"/>
    </row>
    <row r="948" spans="17:19" x14ac:dyDescent="0.2">
      <c r="Q948" s="67"/>
      <c r="R948" s="67"/>
      <c r="S948" s="67"/>
    </row>
    <row r="949" spans="17:19" x14ac:dyDescent="0.2">
      <c r="Q949" s="67"/>
      <c r="R949" s="67"/>
      <c r="S949" s="67"/>
    </row>
    <row r="950" spans="17:19" x14ac:dyDescent="0.2">
      <c r="Q950" s="67"/>
      <c r="R950" s="67"/>
      <c r="S950" s="67"/>
    </row>
    <row r="951" spans="17:19" x14ac:dyDescent="0.2">
      <c r="Q951" s="67"/>
      <c r="R951" s="67"/>
      <c r="S951" s="67"/>
    </row>
    <row r="952" spans="17:19" x14ac:dyDescent="0.2">
      <c r="Q952" s="67"/>
      <c r="R952" s="67"/>
      <c r="S952" s="67"/>
    </row>
    <row r="953" spans="17:19" x14ac:dyDescent="0.2">
      <c r="Q953" s="67"/>
      <c r="R953" s="67"/>
      <c r="S953" s="67"/>
    </row>
    <row r="954" spans="17:19" x14ac:dyDescent="0.2">
      <c r="Q954" s="67"/>
      <c r="R954" s="67"/>
      <c r="S954" s="67"/>
    </row>
    <row r="955" spans="17:19" x14ac:dyDescent="0.2">
      <c r="Q955" s="67"/>
      <c r="R955" s="67"/>
      <c r="S955" s="67"/>
    </row>
    <row r="956" spans="17:19" x14ac:dyDescent="0.2">
      <c r="Q956" s="67"/>
      <c r="R956" s="67"/>
      <c r="S956" s="67"/>
    </row>
    <row r="957" spans="17:19" x14ac:dyDescent="0.2">
      <c r="Q957" s="67"/>
      <c r="R957" s="67"/>
      <c r="S957" s="67"/>
    </row>
    <row r="958" spans="17:19" x14ac:dyDescent="0.2">
      <c r="Q958" s="67"/>
      <c r="R958" s="67"/>
      <c r="S958" s="67"/>
    </row>
    <row r="959" spans="17:19" x14ac:dyDescent="0.2">
      <c r="Q959" s="67"/>
      <c r="R959" s="67"/>
      <c r="S959" s="67"/>
    </row>
    <row r="960" spans="17:19" x14ac:dyDescent="0.2">
      <c r="Q960" s="67"/>
      <c r="R960" s="67"/>
      <c r="S960" s="67"/>
    </row>
    <row r="961" spans="17:19" x14ac:dyDescent="0.2">
      <c r="Q961" s="67"/>
      <c r="R961" s="67"/>
      <c r="S961" s="67"/>
    </row>
    <row r="962" spans="17:19" x14ac:dyDescent="0.2">
      <c r="Q962" s="67"/>
      <c r="R962" s="67"/>
      <c r="S962" s="67"/>
    </row>
    <row r="963" spans="17:19" x14ac:dyDescent="0.2">
      <c r="Q963" s="67"/>
      <c r="R963" s="67"/>
      <c r="S963" s="67"/>
    </row>
    <row r="964" spans="17:19" x14ac:dyDescent="0.2">
      <c r="Q964" s="67"/>
      <c r="R964" s="67"/>
      <c r="S964" s="67"/>
    </row>
    <row r="965" spans="17:19" x14ac:dyDescent="0.2">
      <c r="Q965" s="67"/>
      <c r="R965" s="67"/>
      <c r="S965" s="67"/>
    </row>
    <row r="966" spans="17:19" x14ac:dyDescent="0.2">
      <c r="Q966" s="67"/>
      <c r="R966" s="67"/>
      <c r="S966" s="67"/>
    </row>
    <row r="967" spans="17:19" x14ac:dyDescent="0.2">
      <c r="Q967" s="67"/>
      <c r="R967" s="67"/>
      <c r="S967" s="67"/>
    </row>
    <row r="968" spans="17:19" x14ac:dyDescent="0.2">
      <c r="Q968" s="67"/>
      <c r="R968" s="67"/>
      <c r="S968" s="67"/>
    </row>
    <row r="969" spans="17:19" x14ac:dyDescent="0.2">
      <c r="Q969" s="67"/>
      <c r="R969" s="67"/>
      <c r="S969" s="67"/>
    </row>
    <row r="970" spans="17:19" x14ac:dyDescent="0.2">
      <c r="Q970" s="67"/>
      <c r="R970" s="67"/>
      <c r="S970" s="67"/>
    </row>
    <row r="971" spans="17:19" x14ac:dyDescent="0.2">
      <c r="Q971" s="67"/>
      <c r="R971" s="67"/>
      <c r="S971" s="67"/>
    </row>
    <row r="972" spans="17:19" x14ac:dyDescent="0.2">
      <c r="Q972" s="67"/>
      <c r="R972" s="67"/>
      <c r="S972" s="67"/>
    </row>
    <row r="973" spans="17:19" x14ac:dyDescent="0.2">
      <c r="Q973" s="67"/>
      <c r="R973" s="67"/>
      <c r="S973" s="67"/>
    </row>
    <row r="974" spans="17:19" x14ac:dyDescent="0.2">
      <c r="Q974" s="67"/>
      <c r="R974" s="67"/>
      <c r="S974" s="67"/>
    </row>
    <row r="975" spans="17:19" x14ac:dyDescent="0.2">
      <c r="Q975" s="67"/>
      <c r="R975" s="67"/>
      <c r="S975" s="67"/>
    </row>
    <row r="976" spans="17:19" x14ac:dyDescent="0.2">
      <c r="Q976" s="67"/>
      <c r="R976" s="67"/>
      <c r="S976" s="67"/>
    </row>
    <row r="977" spans="17:19" x14ac:dyDescent="0.2">
      <c r="Q977" s="67"/>
      <c r="R977" s="67"/>
      <c r="S977" s="67"/>
    </row>
    <row r="978" spans="17:19" x14ac:dyDescent="0.2">
      <c r="Q978" s="67"/>
      <c r="R978" s="67"/>
      <c r="S978" s="67"/>
    </row>
    <row r="979" spans="17:19" x14ac:dyDescent="0.2">
      <c r="Q979" s="67"/>
      <c r="R979" s="67"/>
      <c r="S979" s="67"/>
    </row>
    <row r="980" spans="17:19" x14ac:dyDescent="0.2">
      <c r="Q980" s="67"/>
      <c r="R980" s="67"/>
      <c r="S980" s="67"/>
    </row>
    <row r="981" spans="17:19" x14ac:dyDescent="0.2">
      <c r="Q981" s="67"/>
      <c r="R981" s="67"/>
      <c r="S981" s="67"/>
    </row>
    <row r="982" spans="17:19" x14ac:dyDescent="0.2">
      <c r="Q982" s="67"/>
      <c r="R982" s="67"/>
      <c r="S982" s="67"/>
    </row>
    <row r="983" spans="17:19" x14ac:dyDescent="0.2">
      <c r="Q983" s="67"/>
      <c r="R983" s="67"/>
      <c r="S983" s="67"/>
    </row>
    <row r="984" spans="17:19" x14ac:dyDescent="0.2">
      <c r="Q984" s="67"/>
      <c r="R984" s="67"/>
      <c r="S984" s="67"/>
    </row>
    <row r="985" spans="17:19" x14ac:dyDescent="0.2">
      <c r="Q985" s="67"/>
      <c r="R985" s="67"/>
      <c r="S985" s="67"/>
    </row>
    <row r="986" spans="17:19" x14ac:dyDescent="0.2">
      <c r="Q986" s="67"/>
      <c r="R986" s="67"/>
      <c r="S986" s="67"/>
    </row>
    <row r="987" spans="17:19" x14ac:dyDescent="0.2">
      <c r="Q987" s="67"/>
      <c r="R987" s="67"/>
      <c r="S987" s="67"/>
    </row>
    <row r="988" spans="17:19" x14ac:dyDescent="0.2">
      <c r="Q988" s="67"/>
      <c r="R988" s="67"/>
      <c r="S988" s="67"/>
    </row>
    <row r="989" spans="17:19" x14ac:dyDescent="0.2">
      <c r="Q989" s="67"/>
      <c r="R989" s="67"/>
      <c r="S989" s="67"/>
    </row>
    <row r="990" spans="17:19" x14ac:dyDescent="0.2">
      <c r="Q990" s="67"/>
      <c r="R990" s="67"/>
      <c r="S990" s="67"/>
    </row>
    <row r="991" spans="17:19" x14ac:dyDescent="0.2">
      <c r="Q991" s="67"/>
      <c r="R991" s="67"/>
      <c r="S991" s="67"/>
    </row>
    <row r="992" spans="17:19" x14ac:dyDescent="0.2">
      <c r="Q992" s="67"/>
      <c r="R992" s="67"/>
      <c r="S992" s="67"/>
    </row>
    <row r="993" spans="17:19" x14ac:dyDescent="0.2">
      <c r="Q993" s="67"/>
      <c r="R993" s="67"/>
      <c r="S993" s="67"/>
    </row>
    <row r="994" spans="17:19" x14ac:dyDescent="0.2">
      <c r="Q994" s="67"/>
      <c r="R994" s="67"/>
      <c r="S994" s="67"/>
    </row>
    <row r="995" spans="17:19" x14ac:dyDescent="0.2">
      <c r="Q995" s="67"/>
      <c r="R995" s="67"/>
      <c r="S995" s="67"/>
    </row>
    <row r="996" spans="17:19" x14ac:dyDescent="0.2">
      <c r="Q996" s="67"/>
      <c r="R996" s="67"/>
      <c r="S996" s="67"/>
    </row>
    <row r="997" spans="17:19" x14ac:dyDescent="0.2">
      <c r="Q997" s="67"/>
      <c r="R997" s="67"/>
      <c r="S997" s="67"/>
    </row>
    <row r="998" spans="17:19" x14ac:dyDescent="0.2">
      <c r="Q998" s="67"/>
      <c r="R998" s="67"/>
      <c r="S998" s="67"/>
    </row>
    <row r="999" spans="17:19" x14ac:dyDescent="0.2">
      <c r="Q999" s="67"/>
      <c r="R999" s="67"/>
      <c r="S999" s="67"/>
    </row>
    <row r="1000" spans="17:19" x14ac:dyDescent="0.2">
      <c r="Q1000" s="67"/>
      <c r="R1000" s="67"/>
      <c r="S1000" s="67"/>
    </row>
  </sheetData>
  <mergeCells count="88">
    <mergeCell ref="Q11:S11"/>
    <mergeCell ref="B12:D12"/>
    <mergeCell ref="Q12:S12"/>
    <mergeCell ref="H20:H24"/>
    <mergeCell ref="H25:H29"/>
    <mergeCell ref="K25:K29"/>
    <mergeCell ref="N25:N29"/>
    <mergeCell ref="Q25:Q29"/>
    <mergeCell ref="H15:H19"/>
    <mergeCell ref="K15:K19"/>
    <mergeCell ref="N15:N19"/>
    <mergeCell ref="Q15:Q19"/>
    <mergeCell ref="K20:K24"/>
    <mergeCell ref="N20:N24"/>
    <mergeCell ref="Q20:Q24"/>
    <mergeCell ref="B11:D11"/>
    <mergeCell ref="E11:G11"/>
    <mergeCell ref="H11:J11"/>
    <mergeCell ref="K11:M11"/>
    <mergeCell ref="N11:P11"/>
    <mergeCell ref="A4:S4"/>
    <mergeCell ref="H10:J10"/>
    <mergeCell ref="K10:M10"/>
    <mergeCell ref="N10:P10"/>
    <mergeCell ref="Q10:S10"/>
    <mergeCell ref="B5:S5"/>
    <mergeCell ref="B6:S6"/>
    <mergeCell ref="B7:S7"/>
    <mergeCell ref="B8:S8"/>
    <mergeCell ref="B9:S9"/>
    <mergeCell ref="B10:D10"/>
    <mergeCell ref="E10:G10"/>
    <mergeCell ref="A1:C3"/>
    <mergeCell ref="D1:S1"/>
    <mergeCell ref="D2:S2"/>
    <mergeCell ref="D3:J3"/>
    <mergeCell ref="K3:L3"/>
    <mergeCell ref="N3:S3"/>
    <mergeCell ref="I40:M40"/>
    <mergeCell ref="N40:S40"/>
    <mergeCell ref="F43:P43"/>
    <mergeCell ref="Q43:S43"/>
    <mergeCell ref="A44:C44"/>
    <mergeCell ref="D44:E44"/>
    <mergeCell ref="F44:P44"/>
    <mergeCell ref="Q44:S44"/>
    <mergeCell ref="A40:H40"/>
    <mergeCell ref="A41:H41"/>
    <mergeCell ref="I41:M41"/>
    <mergeCell ref="N41:S41"/>
    <mergeCell ref="A42:S42"/>
    <mergeCell ref="A43:C43"/>
    <mergeCell ref="D43:E43"/>
    <mergeCell ref="Q30:Q34"/>
    <mergeCell ref="B20:B24"/>
    <mergeCell ref="B35:B39"/>
    <mergeCell ref="B14:D14"/>
    <mergeCell ref="A15:A39"/>
    <mergeCell ref="B15:B19"/>
    <mergeCell ref="E15:E19"/>
    <mergeCell ref="E20:E24"/>
    <mergeCell ref="E25:E29"/>
    <mergeCell ref="E30:E34"/>
    <mergeCell ref="E35:E39"/>
    <mergeCell ref="H35:H39"/>
    <mergeCell ref="K35:K39"/>
    <mergeCell ref="N35:N39"/>
    <mergeCell ref="Q35:Q39"/>
    <mergeCell ref="B25:B29"/>
    <mergeCell ref="B30:B34"/>
    <mergeCell ref="H30:H34"/>
    <mergeCell ref="K30:K34"/>
    <mergeCell ref="N30:N34"/>
    <mergeCell ref="B13:D13"/>
    <mergeCell ref="E13:G13"/>
    <mergeCell ref="H13:J13"/>
    <mergeCell ref="E14:G14"/>
    <mergeCell ref="H14:J14"/>
    <mergeCell ref="K14:M14"/>
    <mergeCell ref="N14:P14"/>
    <mergeCell ref="Q14:S14"/>
    <mergeCell ref="E12:G12"/>
    <mergeCell ref="H12:J12"/>
    <mergeCell ref="K12:M12"/>
    <mergeCell ref="N12:P12"/>
    <mergeCell ref="K13:M13"/>
    <mergeCell ref="N13:P13"/>
    <mergeCell ref="Q13:S13"/>
  </mergeCells>
  <pageMargins left="0.25" right="0.25" top="0.75" bottom="0.75" header="0" footer="0"/>
  <pageSetup fitToHeight="0"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sqref="A1:B2"/>
    </sheetView>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22.5" customHeight="1" x14ac:dyDescent="0.25">
      <c r="A4" s="4" t="s">
        <v>7</v>
      </c>
      <c r="B4" s="139" t="str">
        <f>+'RESUMEN DIPLOMADO'!D3</f>
        <v>DIPLOMADO EN BIG DATA E INTELIGENCIA ARTIFICIAL</v>
      </c>
      <c r="C4" s="91"/>
      <c r="D4" s="91"/>
      <c r="E4" s="91"/>
      <c r="F4" s="92"/>
      <c r="G4" s="7" t="s">
        <v>9</v>
      </c>
      <c r="H4" s="10"/>
      <c r="I4" s="11"/>
      <c r="J4" s="11"/>
      <c r="K4" s="11"/>
      <c r="L4" s="11"/>
      <c r="M4" s="11"/>
      <c r="N4" s="11"/>
      <c r="O4" s="11"/>
      <c r="P4" s="11"/>
      <c r="Q4" s="11"/>
      <c r="R4" s="11"/>
      <c r="S4" s="11"/>
      <c r="T4" s="11"/>
      <c r="U4" s="11"/>
      <c r="V4" s="11"/>
      <c r="W4" s="11"/>
      <c r="X4" s="11"/>
      <c r="Y4" s="11"/>
      <c r="Z4" s="11"/>
    </row>
    <row r="5" spans="1:26" ht="22.5" customHeight="1" x14ac:dyDescent="0.25">
      <c r="A5" s="12" t="s">
        <v>12</v>
      </c>
      <c r="B5" s="139" t="s">
        <v>14</v>
      </c>
      <c r="C5" s="91"/>
      <c r="D5" s="91"/>
      <c r="E5" s="91"/>
      <c r="F5" s="92"/>
      <c r="G5" s="14" t="s">
        <v>9</v>
      </c>
      <c r="H5" s="16" t="s">
        <v>19</v>
      </c>
      <c r="I5" s="11"/>
      <c r="J5" s="11"/>
      <c r="K5" s="11"/>
      <c r="L5" s="11"/>
      <c r="M5" s="11"/>
      <c r="N5" s="11"/>
      <c r="O5" s="11"/>
      <c r="P5" s="11"/>
      <c r="Q5" s="11"/>
      <c r="R5" s="11"/>
      <c r="S5" s="11"/>
      <c r="T5" s="11"/>
      <c r="U5" s="11"/>
      <c r="V5" s="11"/>
      <c r="W5" s="11"/>
      <c r="X5" s="11"/>
      <c r="Y5" s="11"/>
      <c r="Z5" s="11"/>
    </row>
    <row r="6" spans="1:26" ht="110.25" customHeight="1" x14ac:dyDescent="0.2">
      <c r="A6" s="17" t="s">
        <v>21</v>
      </c>
      <c r="B6" s="140" t="s">
        <v>25</v>
      </c>
      <c r="C6" s="91"/>
      <c r="D6" s="91"/>
      <c r="E6" s="91"/>
      <c r="F6" s="91"/>
      <c r="G6" s="91"/>
      <c r="H6" s="92"/>
      <c r="I6" s="18"/>
      <c r="J6" s="18"/>
      <c r="K6" s="18"/>
      <c r="L6" s="18"/>
      <c r="M6" s="18"/>
      <c r="N6" s="18"/>
      <c r="O6" s="18"/>
      <c r="P6" s="18"/>
      <c r="Q6" s="18"/>
      <c r="R6" s="18"/>
      <c r="S6" s="18"/>
      <c r="T6" s="18"/>
      <c r="U6" s="18"/>
      <c r="V6" s="18"/>
      <c r="W6" s="18"/>
      <c r="X6" s="18"/>
      <c r="Y6" s="18"/>
      <c r="Z6" s="18"/>
    </row>
    <row r="7" spans="1:26" ht="27" customHeight="1" x14ac:dyDescent="0.2">
      <c r="A7" s="17" t="s">
        <v>13</v>
      </c>
      <c r="B7" s="140" t="s">
        <v>29</v>
      </c>
      <c r="C7" s="91"/>
      <c r="D7" s="91"/>
      <c r="E7" s="91"/>
      <c r="F7" s="91"/>
      <c r="G7" s="91"/>
      <c r="H7" s="92"/>
      <c r="I7" s="18"/>
      <c r="J7" s="18"/>
      <c r="K7" s="18"/>
      <c r="L7" s="18"/>
      <c r="M7" s="18"/>
      <c r="N7" s="18"/>
      <c r="O7" s="18"/>
      <c r="P7" s="18"/>
      <c r="Q7" s="18"/>
      <c r="R7" s="18"/>
      <c r="S7" s="18"/>
      <c r="T7" s="18"/>
      <c r="U7" s="18"/>
      <c r="V7" s="18"/>
      <c r="W7" s="18"/>
      <c r="X7" s="18"/>
      <c r="Y7" s="18"/>
      <c r="Z7" s="18"/>
    </row>
    <row r="8" spans="1:26" ht="40.5" customHeight="1" x14ac:dyDescent="0.2">
      <c r="A8" s="17" t="s">
        <v>31</v>
      </c>
      <c r="B8" s="140" t="s">
        <v>32</v>
      </c>
      <c r="C8" s="91"/>
      <c r="D8" s="91"/>
      <c r="E8" s="91"/>
      <c r="F8" s="91"/>
      <c r="G8" s="91"/>
      <c r="H8" s="92"/>
      <c r="I8" s="18"/>
      <c r="J8" s="18"/>
      <c r="K8" s="18"/>
      <c r="L8" s="18"/>
      <c r="M8" s="18"/>
      <c r="N8" s="18"/>
      <c r="O8" s="18"/>
      <c r="P8" s="18"/>
      <c r="Q8" s="18"/>
      <c r="R8" s="18"/>
      <c r="S8" s="18"/>
      <c r="T8" s="18"/>
      <c r="U8" s="18"/>
      <c r="V8" s="18"/>
      <c r="W8" s="18"/>
      <c r="X8" s="18"/>
      <c r="Y8" s="18"/>
      <c r="Z8" s="18"/>
    </row>
    <row r="9" spans="1:26" ht="49.5" customHeight="1" x14ac:dyDescent="0.2">
      <c r="A9" s="17" t="s">
        <v>22</v>
      </c>
      <c r="B9" s="140" t="s">
        <v>33</v>
      </c>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20</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t="s">
        <v>38</v>
      </c>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108" customHeight="1" x14ac:dyDescent="0.2">
      <c r="A12" s="17" t="s">
        <v>30</v>
      </c>
      <c r="B12" s="140" t="s">
        <v>40</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3.25" customHeight="1" x14ac:dyDescent="0.2">
      <c r="A13" s="130" t="s">
        <v>41</v>
      </c>
      <c r="B13" s="131" t="s">
        <v>46</v>
      </c>
      <c r="C13" s="22" t="s">
        <v>47</v>
      </c>
      <c r="D13" s="141" t="s">
        <v>48</v>
      </c>
      <c r="E13" s="91"/>
      <c r="F13" s="91"/>
      <c r="G13" s="91"/>
      <c r="H13" s="92"/>
      <c r="I13" s="18"/>
      <c r="J13" s="18"/>
      <c r="K13" s="18"/>
      <c r="L13" s="18"/>
      <c r="M13" s="18"/>
      <c r="N13" s="18"/>
      <c r="O13" s="18"/>
      <c r="P13" s="18"/>
      <c r="Q13" s="18"/>
      <c r="R13" s="18"/>
      <c r="S13" s="18"/>
      <c r="T13" s="18"/>
      <c r="U13" s="18"/>
      <c r="V13" s="18"/>
      <c r="W13" s="18"/>
      <c r="X13" s="18"/>
      <c r="Y13" s="18"/>
      <c r="Z13" s="18"/>
    </row>
    <row r="14" spans="1:26" ht="23.25" customHeight="1" x14ac:dyDescent="0.2">
      <c r="A14" s="95"/>
      <c r="B14" s="95"/>
      <c r="C14" s="22" t="s">
        <v>49</v>
      </c>
      <c r="D14" s="141" t="s">
        <v>50</v>
      </c>
      <c r="E14" s="91"/>
      <c r="F14" s="91"/>
      <c r="G14" s="91"/>
      <c r="H14" s="92"/>
      <c r="I14" s="18"/>
      <c r="J14" s="18"/>
      <c r="K14" s="18"/>
      <c r="L14" s="18"/>
      <c r="M14" s="18"/>
      <c r="N14" s="18"/>
      <c r="O14" s="18"/>
      <c r="P14" s="18"/>
      <c r="Q14" s="18"/>
      <c r="R14" s="18"/>
      <c r="S14" s="18"/>
      <c r="T14" s="18"/>
      <c r="U14" s="18"/>
      <c r="V14" s="18"/>
      <c r="W14" s="18"/>
      <c r="X14" s="18"/>
      <c r="Y14" s="18"/>
      <c r="Z14" s="18"/>
    </row>
    <row r="15" spans="1:26" ht="23.25" customHeight="1" x14ac:dyDescent="0.2">
      <c r="A15" s="95"/>
      <c r="B15" s="95"/>
      <c r="C15" s="22" t="s">
        <v>52</v>
      </c>
      <c r="D15" s="142" t="s">
        <v>53</v>
      </c>
      <c r="E15" s="91"/>
      <c r="F15" s="91"/>
      <c r="G15" s="91"/>
      <c r="H15" s="92"/>
      <c r="I15" s="18"/>
      <c r="J15" s="18"/>
      <c r="K15" s="18"/>
      <c r="L15" s="18"/>
      <c r="M15" s="18"/>
      <c r="N15" s="18"/>
      <c r="O15" s="18"/>
      <c r="P15" s="18"/>
      <c r="Q15" s="18"/>
      <c r="R15" s="18"/>
      <c r="S15" s="18"/>
      <c r="T15" s="18"/>
      <c r="U15" s="18"/>
      <c r="V15" s="18"/>
      <c r="W15" s="18"/>
      <c r="X15" s="18"/>
      <c r="Y15" s="18"/>
      <c r="Z15" s="18"/>
    </row>
    <row r="16" spans="1:26" ht="23.25" customHeight="1" x14ac:dyDescent="0.2">
      <c r="A16" s="95"/>
      <c r="B16" s="95"/>
      <c r="C16" s="22" t="s">
        <v>55</v>
      </c>
      <c r="D16" s="142" t="s">
        <v>56</v>
      </c>
      <c r="E16" s="91"/>
      <c r="F16" s="91"/>
      <c r="G16" s="91"/>
      <c r="H16" s="92"/>
      <c r="I16" s="18"/>
      <c r="J16" s="18"/>
      <c r="K16" s="18"/>
      <c r="L16" s="18"/>
      <c r="M16" s="18"/>
      <c r="N16" s="18"/>
      <c r="O16" s="18"/>
      <c r="P16" s="18"/>
      <c r="Q16" s="18"/>
      <c r="R16" s="18"/>
      <c r="S16" s="18"/>
      <c r="T16" s="18"/>
      <c r="U16" s="18"/>
      <c r="V16" s="18"/>
      <c r="W16" s="18"/>
      <c r="X16" s="18"/>
      <c r="Y16" s="18"/>
      <c r="Z16" s="18"/>
    </row>
    <row r="17" spans="1:26" ht="23.25" customHeight="1" x14ac:dyDescent="0.2">
      <c r="A17" s="95"/>
      <c r="B17" s="97"/>
      <c r="C17" s="22" t="s">
        <v>57</v>
      </c>
      <c r="D17" s="142" t="s">
        <v>58</v>
      </c>
      <c r="E17" s="91"/>
      <c r="F17" s="91"/>
      <c r="G17" s="91"/>
      <c r="H17" s="92"/>
      <c r="I17" s="18"/>
      <c r="J17" s="18"/>
      <c r="K17" s="18"/>
      <c r="L17" s="18"/>
      <c r="M17" s="18"/>
      <c r="N17" s="18"/>
      <c r="O17" s="18"/>
      <c r="P17" s="18"/>
      <c r="Q17" s="18"/>
      <c r="R17" s="18"/>
      <c r="S17" s="18"/>
      <c r="T17" s="18"/>
      <c r="U17" s="18"/>
      <c r="V17" s="18"/>
      <c r="W17" s="18"/>
      <c r="X17" s="18"/>
      <c r="Y17" s="18"/>
      <c r="Z17" s="18"/>
    </row>
    <row r="18" spans="1:26" ht="23.25" customHeight="1" x14ac:dyDescent="0.2">
      <c r="A18" s="95"/>
      <c r="B18" s="131" t="s">
        <v>60</v>
      </c>
      <c r="C18" s="22" t="s">
        <v>61</v>
      </c>
      <c r="D18" s="142" t="s">
        <v>62</v>
      </c>
      <c r="E18" s="91"/>
      <c r="F18" s="91"/>
      <c r="G18" s="91"/>
      <c r="H18" s="92"/>
      <c r="I18" s="18"/>
      <c r="J18" s="18"/>
      <c r="K18" s="18"/>
      <c r="L18" s="18"/>
      <c r="M18" s="18"/>
      <c r="N18" s="18"/>
      <c r="O18" s="18"/>
      <c r="P18" s="18"/>
      <c r="Q18" s="18"/>
      <c r="R18" s="18"/>
      <c r="S18" s="18"/>
      <c r="T18" s="18"/>
      <c r="U18" s="18"/>
      <c r="V18" s="18"/>
      <c r="W18" s="18"/>
      <c r="X18" s="18"/>
      <c r="Y18" s="18"/>
      <c r="Z18" s="18"/>
    </row>
    <row r="19" spans="1:26" ht="23.25" customHeight="1" x14ac:dyDescent="0.2">
      <c r="A19" s="95"/>
      <c r="B19" s="95"/>
      <c r="C19" s="22" t="s">
        <v>64</v>
      </c>
      <c r="D19" s="142" t="s">
        <v>65</v>
      </c>
      <c r="E19" s="91"/>
      <c r="F19" s="91"/>
      <c r="G19" s="91"/>
      <c r="H19" s="92"/>
      <c r="I19" s="18"/>
      <c r="J19" s="18"/>
      <c r="K19" s="18"/>
      <c r="L19" s="18"/>
      <c r="M19" s="18"/>
      <c r="N19" s="18"/>
      <c r="O19" s="18"/>
      <c r="P19" s="18"/>
      <c r="Q19" s="18"/>
      <c r="R19" s="18"/>
      <c r="S19" s="18"/>
      <c r="T19" s="18"/>
      <c r="U19" s="18"/>
      <c r="V19" s="18"/>
      <c r="W19" s="18"/>
      <c r="X19" s="18"/>
      <c r="Y19" s="18"/>
      <c r="Z19" s="18"/>
    </row>
    <row r="20" spans="1:26" ht="23.25" customHeight="1" x14ac:dyDescent="0.2">
      <c r="A20" s="95"/>
      <c r="B20" s="95"/>
      <c r="C20" s="22" t="s">
        <v>66</v>
      </c>
      <c r="D20" s="142" t="s">
        <v>67</v>
      </c>
      <c r="E20" s="91"/>
      <c r="F20" s="91"/>
      <c r="G20" s="91"/>
      <c r="H20" s="92"/>
      <c r="I20" s="18"/>
      <c r="J20" s="18"/>
      <c r="K20" s="18"/>
      <c r="L20" s="18"/>
      <c r="M20" s="18"/>
      <c r="N20" s="18"/>
      <c r="O20" s="18"/>
      <c r="P20" s="18"/>
      <c r="Q20" s="18"/>
      <c r="R20" s="18"/>
      <c r="S20" s="18"/>
      <c r="T20" s="18"/>
      <c r="U20" s="18"/>
      <c r="V20" s="18"/>
      <c r="W20" s="18"/>
      <c r="X20" s="18"/>
      <c r="Y20" s="18"/>
      <c r="Z20" s="18"/>
    </row>
    <row r="21" spans="1:26" ht="23.25" customHeight="1" x14ac:dyDescent="0.2">
      <c r="A21" s="95"/>
      <c r="B21" s="95"/>
      <c r="C21" s="22" t="s">
        <v>69</v>
      </c>
      <c r="D21" s="142" t="s">
        <v>70</v>
      </c>
      <c r="E21" s="91"/>
      <c r="F21" s="91"/>
      <c r="G21" s="91"/>
      <c r="H21" s="92"/>
      <c r="I21" s="18"/>
      <c r="J21" s="18"/>
      <c r="K21" s="18"/>
      <c r="L21" s="18"/>
      <c r="M21" s="18"/>
      <c r="N21" s="18"/>
      <c r="O21" s="18"/>
      <c r="P21" s="18"/>
      <c r="Q21" s="18"/>
      <c r="R21" s="18"/>
      <c r="S21" s="18"/>
      <c r="T21" s="18"/>
      <c r="U21" s="18"/>
      <c r="V21" s="18"/>
      <c r="W21" s="18"/>
      <c r="X21" s="18"/>
      <c r="Y21" s="18"/>
      <c r="Z21" s="18"/>
    </row>
    <row r="22" spans="1:26" ht="23.25" customHeight="1" x14ac:dyDescent="0.2">
      <c r="A22" s="95"/>
      <c r="B22" s="97"/>
      <c r="C22" s="22" t="s">
        <v>72</v>
      </c>
      <c r="D22" s="142" t="s">
        <v>73</v>
      </c>
      <c r="E22" s="91"/>
      <c r="F22" s="91"/>
      <c r="G22" s="91"/>
      <c r="H22" s="92"/>
      <c r="I22" s="18"/>
      <c r="J22" s="18"/>
      <c r="K22" s="18"/>
      <c r="L22" s="18"/>
      <c r="M22" s="18"/>
      <c r="N22" s="18"/>
      <c r="O22" s="18"/>
      <c r="P22" s="18"/>
      <c r="Q22" s="18"/>
      <c r="R22" s="18"/>
      <c r="S22" s="18"/>
      <c r="T22" s="18"/>
      <c r="U22" s="18"/>
      <c r="V22" s="18"/>
      <c r="W22" s="18"/>
      <c r="X22" s="18"/>
      <c r="Y22" s="18"/>
      <c r="Z22" s="18"/>
    </row>
    <row r="23" spans="1:26" ht="23.25" customHeight="1" x14ac:dyDescent="0.2">
      <c r="A23" s="95"/>
      <c r="B23" s="131" t="s">
        <v>74</v>
      </c>
      <c r="C23" s="22" t="s">
        <v>76</v>
      </c>
      <c r="D23" s="142" t="s">
        <v>77</v>
      </c>
      <c r="E23" s="91"/>
      <c r="F23" s="91"/>
      <c r="G23" s="91"/>
      <c r="H23" s="92"/>
      <c r="I23" s="18"/>
      <c r="J23" s="18"/>
      <c r="K23" s="18"/>
      <c r="L23" s="18"/>
      <c r="M23" s="18"/>
      <c r="N23" s="18"/>
      <c r="O23" s="18"/>
      <c r="P23" s="18"/>
      <c r="Q23" s="18"/>
      <c r="R23" s="18"/>
      <c r="S23" s="18"/>
      <c r="T23" s="18"/>
      <c r="U23" s="18"/>
      <c r="V23" s="18"/>
      <c r="W23" s="18"/>
      <c r="X23" s="18"/>
      <c r="Y23" s="18"/>
      <c r="Z23" s="18"/>
    </row>
    <row r="24" spans="1:26" ht="23.25" customHeight="1" x14ac:dyDescent="0.2">
      <c r="A24" s="95"/>
      <c r="B24" s="95"/>
      <c r="C24" s="22" t="s">
        <v>78</v>
      </c>
      <c r="D24" s="142" t="s">
        <v>79</v>
      </c>
      <c r="E24" s="91"/>
      <c r="F24" s="91"/>
      <c r="G24" s="91"/>
      <c r="H24" s="92"/>
      <c r="I24" s="18"/>
      <c r="J24" s="18"/>
      <c r="K24" s="18"/>
      <c r="L24" s="18"/>
      <c r="M24" s="18"/>
      <c r="N24" s="18"/>
      <c r="O24" s="18"/>
      <c r="P24" s="18"/>
      <c r="Q24" s="18"/>
      <c r="R24" s="18"/>
      <c r="S24" s="18"/>
      <c r="T24" s="18"/>
      <c r="U24" s="18"/>
      <c r="V24" s="18"/>
      <c r="W24" s="18"/>
      <c r="X24" s="18"/>
      <c r="Y24" s="18"/>
      <c r="Z24" s="18"/>
    </row>
    <row r="25" spans="1:26" ht="23.25" customHeight="1" x14ac:dyDescent="0.2">
      <c r="A25" s="95"/>
      <c r="B25" s="95"/>
      <c r="C25" s="22" t="s">
        <v>81</v>
      </c>
      <c r="D25" s="142" t="s">
        <v>82</v>
      </c>
      <c r="E25" s="91"/>
      <c r="F25" s="91"/>
      <c r="G25" s="91"/>
      <c r="H25" s="92"/>
      <c r="I25" s="18"/>
      <c r="J25" s="18"/>
      <c r="K25" s="18"/>
      <c r="L25" s="18"/>
      <c r="M25" s="18"/>
      <c r="N25" s="18"/>
      <c r="O25" s="18"/>
      <c r="P25" s="18"/>
      <c r="Q25" s="18"/>
      <c r="R25" s="18"/>
      <c r="S25" s="18"/>
      <c r="T25" s="18"/>
      <c r="U25" s="18"/>
      <c r="V25" s="18"/>
      <c r="W25" s="18"/>
      <c r="X25" s="18"/>
      <c r="Y25" s="18"/>
      <c r="Z25" s="18"/>
    </row>
    <row r="26" spans="1:26" ht="23.25" customHeight="1" x14ac:dyDescent="0.2">
      <c r="A26" s="95"/>
      <c r="B26" s="95"/>
      <c r="C26" s="22" t="s">
        <v>85</v>
      </c>
      <c r="D26" s="142" t="s">
        <v>86</v>
      </c>
      <c r="E26" s="91"/>
      <c r="F26" s="91"/>
      <c r="G26" s="91"/>
      <c r="H26" s="92"/>
      <c r="I26" s="18"/>
      <c r="J26" s="18"/>
      <c r="K26" s="18"/>
      <c r="L26" s="18"/>
      <c r="M26" s="18"/>
      <c r="N26" s="18"/>
      <c r="O26" s="18"/>
      <c r="P26" s="18"/>
      <c r="Q26" s="18"/>
      <c r="R26" s="18"/>
      <c r="S26" s="18"/>
      <c r="T26" s="18"/>
      <c r="U26" s="18"/>
      <c r="V26" s="18"/>
      <c r="W26" s="18"/>
      <c r="X26" s="18"/>
      <c r="Y26" s="18"/>
      <c r="Z26" s="18"/>
    </row>
    <row r="27" spans="1:26" ht="23.25" customHeight="1" x14ac:dyDescent="0.2">
      <c r="A27" s="95"/>
      <c r="B27" s="97"/>
      <c r="C27" s="22" t="s">
        <v>87</v>
      </c>
      <c r="D27" s="142" t="s">
        <v>88</v>
      </c>
      <c r="E27" s="91"/>
      <c r="F27" s="91"/>
      <c r="G27" s="91"/>
      <c r="H27" s="92"/>
      <c r="I27" s="18"/>
      <c r="J27" s="18"/>
      <c r="K27" s="18"/>
      <c r="L27" s="18"/>
      <c r="M27" s="18"/>
      <c r="N27" s="18"/>
      <c r="O27" s="18"/>
      <c r="P27" s="18"/>
      <c r="Q27" s="18"/>
      <c r="R27" s="18"/>
      <c r="S27" s="18"/>
      <c r="T27" s="18"/>
      <c r="U27" s="18"/>
      <c r="V27" s="18"/>
      <c r="W27" s="18"/>
      <c r="X27" s="18"/>
      <c r="Y27" s="18"/>
      <c r="Z27" s="18"/>
    </row>
    <row r="28" spans="1:26" ht="23.25" customHeight="1" x14ac:dyDescent="0.2">
      <c r="A28" s="95"/>
      <c r="B28" s="131" t="s">
        <v>91</v>
      </c>
      <c r="C28" s="22" t="s">
        <v>92</v>
      </c>
      <c r="D28" s="142" t="s">
        <v>93</v>
      </c>
      <c r="E28" s="91"/>
      <c r="F28" s="91"/>
      <c r="G28" s="91"/>
      <c r="H28" s="92"/>
      <c r="I28" s="18"/>
      <c r="J28" s="18"/>
      <c r="K28" s="18"/>
      <c r="L28" s="18"/>
      <c r="M28" s="18"/>
      <c r="N28" s="18"/>
      <c r="O28" s="18"/>
      <c r="P28" s="18"/>
      <c r="Q28" s="18"/>
      <c r="R28" s="18"/>
      <c r="S28" s="18"/>
      <c r="T28" s="18"/>
      <c r="U28" s="18"/>
      <c r="V28" s="18"/>
      <c r="W28" s="18"/>
      <c r="X28" s="18"/>
      <c r="Y28" s="18"/>
      <c r="Z28" s="18"/>
    </row>
    <row r="29" spans="1:26" ht="23.25" customHeight="1" x14ac:dyDescent="0.2">
      <c r="A29" s="95"/>
      <c r="B29" s="95"/>
      <c r="C29" s="22" t="s">
        <v>95</v>
      </c>
      <c r="D29" s="142" t="s">
        <v>96</v>
      </c>
      <c r="E29" s="91"/>
      <c r="F29" s="91"/>
      <c r="G29" s="91"/>
      <c r="H29" s="92"/>
      <c r="I29" s="18"/>
      <c r="J29" s="18"/>
      <c r="K29" s="18"/>
      <c r="L29" s="18"/>
      <c r="M29" s="18"/>
      <c r="N29" s="18"/>
      <c r="O29" s="18"/>
      <c r="P29" s="18"/>
      <c r="Q29" s="18"/>
      <c r="R29" s="18"/>
      <c r="S29" s="18"/>
      <c r="T29" s="18"/>
      <c r="U29" s="18"/>
      <c r="V29" s="18"/>
      <c r="W29" s="18"/>
      <c r="X29" s="18"/>
      <c r="Y29" s="18"/>
      <c r="Z29" s="18"/>
    </row>
    <row r="30" spans="1:26" ht="23.25" customHeight="1" x14ac:dyDescent="0.2">
      <c r="A30" s="95"/>
      <c r="B30" s="95"/>
      <c r="C30" s="22" t="s">
        <v>98</v>
      </c>
      <c r="D30" s="142" t="s">
        <v>99</v>
      </c>
      <c r="E30" s="91"/>
      <c r="F30" s="91"/>
      <c r="G30" s="91"/>
      <c r="H30" s="92"/>
      <c r="I30" s="18"/>
      <c r="J30" s="18"/>
      <c r="K30" s="18"/>
      <c r="L30" s="18"/>
      <c r="M30" s="18"/>
      <c r="N30" s="18"/>
      <c r="O30" s="18"/>
      <c r="P30" s="18"/>
      <c r="Q30" s="18"/>
      <c r="R30" s="18"/>
      <c r="S30" s="18"/>
      <c r="T30" s="18"/>
      <c r="U30" s="18"/>
      <c r="V30" s="18"/>
      <c r="W30" s="18"/>
      <c r="X30" s="18"/>
      <c r="Y30" s="18"/>
      <c r="Z30" s="18"/>
    </row>
    <row r="31" spans="1:26" ht="23.25" customHeight="1" x14ac:dyDescent="0.2">
      <c r="A31" s="95"/>
      <c r="B31" s="95"/>
      <c r="C31" s="22" t="s">
        <v>101</v>
      </c>
      <c r="D31" s="142" t="s">
        <v>102</v>
      </c>
      <c r="E31" s="91"/>
      <c r="F31" s="91"/>
      <c r="G31" s="91"/>
      <c r="H31" s="92"/>
      <c r="I31" s="18"/>
      <c r="J31" s="18"/>
      <c r="K31" s="18"/>
      <c r="L31" s="18"/>
      <c r="M31" s="18"/>
      <c r="N31" s="18"/>
      <c r="O31" s="18"/>
      <c r="P31" s="18"/>
      <c r="Q31" s="18"/>
      <c r="R31" s="18"/>
      <c r="S31" s="18"/>
      <c r="T31" s="18"/>
      <c r="U31" s="18"/>
      <c r="V31" s="18"/>
      <c r="W31" s="18"/>
      <c r="X31" s="18"/>
      <c r="Y31" s="18"/>
      <c r="Z31" s="18"/>
    </row>
    <row r="32" spans="1:26" ht="23.25" customHeight="1" x14ac:dyDescent="0.2">
      <c r="A32" s="95"/>
      <c r="B32" s="97"/>
      <c r="C32" s="22" t="s">
        <v>104</v>
      </c>
      <c r="D32" s="142" t="s">
        <v>105</v>
      </c>
      <c r="E32" s="91"/>
      <c r="F32" s="91"/>
      <c r="G32" s="91"/>
      <c r="H32" s="92"/>
      <c r="I32" s="18"/>
      <c r="J32" s="18"/>
      <c r="K32" s="18"/>
      <c r="L32" s="18"/>
      <c r="M32" s="18"/>
      <c r="N32" s="18"/>
      <c r="O32" s="18"/>
      <c r="P32" s="18"/>
      <c r="Q32" s="18"/>
      <c r="R32" s="18"/>
      <c r="S32" s="18"/>
      <c r="T32" s="18"/>
      <c r="U32" s="18"/>
      <c r="V32" s="18"/>
      <c r="W32" s="18"/>
      <c r="X32" s="18"/>
      <c r="Y32" s="18"/>
      <c r="Z32" s="18"/>
    </row>
    <row r="33" spans="1:26" ht="23.25" customHeight="1" x14ac:dyDescent="0.2">
      <c r="A33" s="95"/>
      <c r="B33" s="131" t="s">
        <v>107</v>
      </c>
      <c r="C33" s="22" t="s">
        <v>108</v>
      </c>
      <c r="D33" s="142" t="s">
        <v>109</v>
      </c>
      <c r="E33" s="91"/>
      <c r="F33" s="91"/>
      <c r="G33" s="91"/>
      <c r="H33" s="92"/>
      <c r="I33" s="18"/>
      <c r="J33" s="18"/>
      <c r="K33" s="18"/>
      <c r="L33" s="18"/>
      <c r="M33" s="18"/>
      <c r="N33" s="18"/>
      <c r="O33" s="18"/>
      <c r="P33" s="18"/>
      <c r="Q33" s="18"/>
      <c r="R33" s="18"/>
      <c r="S33" s="18"/>
      <c r="T33" s="18"/>
      <c r="U33" s="18"/>
      <c r="V33" s="18"/>
      <c r="W33" s="18"/>
      <c r="X33" s="18"/>
      <c r="Y33" s="18"/>
      <c r="Z33" s="18"/>
    </row>
    <row r="34" spans="1:26" ht="23.25" customHeight="1" x14ac:dyDescent="0.2">
      <c r="A34" s="95"/>
      <c r="B34" s="95"/>
      <c r="C34" s="22" t="s">
        <v>111</v>
      </c>
      <c r="D34" s="142" t="s">
        <v>112</v>
      </c>
      <c r="E34" s="91"/>
      <c r="F34" s="91"/>
      <c r="G34" s="91"/>
      <c r="H34" s="92"/>
      <c r="I34" s="18"/>
      <c r="J34" s="18"/>
      <c r="K34" s="18"/>
      <c r="L34" s="18"/>
      <c r="M34" s="18"/>
      <c r="N34" s="18"/>
      <c r="O34" s="18"/>
      <c r="P34" s="18"/>
      <c r="Q34" s="18"/>
      <c r="R34" s="18"/>
      <c r="S34" s="18"/>
      <c r="T34" s="18"/>
      <c r="U34" s="18"/>
      <c r="V34" s="18"/>
      <c r="W34" s="18"/>
      <c r="X34" s="18"/>
      <c r="Y34" s="18"/>
      <c r="Z34" s="18"/>
    </row>
    <row r="35" spans="1:26" ht="23.25" customHeight="1" x14ac:dyDescent="0.2">
      <c r="A35" s="95"/>
      <c r="B35" s="95"/>
      <c r="C35" s="22" t="s">
        <v>113</v>
      </c>
      <c r="D35" s="142" t="s">
        <v>114</v>
      </c>
      <c r="E35" s="91"/>
      <c r="F35" s="91"/>
      <c r="G35" s="91"/>
      <c r="H35" s="92"/>
      <c r="I35" s="18"/>
      <c r="J35" s="18"/>
      <c r="K35" s="18"/>
      <c r="L35" s="18"/>
      <c r="M35" s="18"/>
      <c r="N35" s="18"/>
      <c r="O35" s="18"/>
      <c r="P35" s="18"/>
      <c r="Q35" s="18"/>
      <c r="R35" s="18"/>
      <c r="S35" s="18"/>
      <c r="T35" s="18"/>
      <c r="U35" s="18"/>
      <c r="V35" s="18"/>
      <c r="W35" s="18"/>
      <c r="X35" s="18"/>
      <c r="Y35" s="18"/>
      <c r="Z35" s="18"/>
    </row>
    <row r="36" spans="1:26" ht="23.25" customHeight="1" x14ac:dyDescent="0.2">
      <c r="A36" s="95"/>
      <c r="B36" s="95"/>
      <c r="C36" s="22" t="s">
        <v>116</v>
      </c>
      <c r="D36" s="142" t="s">
        <v>117</v>
      </c>
      <c r="E36" s="91"/>
      <c r="F36" s="91"/>
      <c r="G36" s="91"/>
      <c r="H36" s="92"/>
      <c r="I36" s="18"/>
      <c r="J36" s="18"/>
      <c r="K36" s="18"/>
      <c r="L36" s="18"/>
      <c r="M36" s="18"/>
      <c r="N36" s="18"/>
      <c r="O36" s="18"/>
      <c r="P36" s="18"/>
      <c r="Q36" s="18"/>
      <c r="R36" s="18"/>
      <c r="S36" s="18"/>
      <c r="T36" s="18"/>
      <c r="U36" s="18"/>
      <c r="V36" s="18"/>
      <c r="W36" s="18"/>
      <c r="X36" s="18"/>
      <c r="Y36" s="18"/>
      <c r="Z36" s="18"/>
    </row>
    <row r="37" spans="1:26" ht="23.25" customHeight="1" x14ac:dyDescent="0.2">
      <c r="A37" s="96"/>
      <c r="B37" s="97"/>
      <c r="C37" s="22" t="s">
        <v>119</v>
      </c>
      <c r="D37" s="142" t="s">
        <v>120</v>
      </c>
      <c r="E37" s="91"/>
      <c r="F37" s="91"/>
      <c r="G37" s="91"/>
      <c r="H37" s="92"/>
      <c r="I37" s="18"/>
      <c r="J37" s="18"/>
      <c r="K37" s="18"/>
      <c r="L37" s="18"/>
      <c r="M37" s="18"/>
      <c r="N37" s="18"/>
      <c r="O37" s="18"/>
      <c r="P37" s="18"/>
      <c r="Q37" s="18"/>
      <c r="R37" s="18"/>
      <c r="S37" s="18"/>
      <c r="T37" s="18"/>
      <c r="U37" s="18"/>
      <c r="V37" s="18"/>
      <c r="W37" s="18"/>
      <c r="X37" s="18"/>
      <c r="Y37" s="18"/>
      <c r="Z37" s="18"/>
    </row>
    <row r="38" spans="1:26" ht="44.25" customHeight="1" x14ac:dyDescent="0.2">
      <c r="A38" s="26" t="s">
        <v>122</v>
      </c>
      <c r="B38" s="143" t="s">
        <v>124</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129</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132</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136</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42" customHeight="1" x14ac:dyDescent="0.2">
      <c r="A42" s="26" t="s">
        <v>140</v>
      </c>
      <c r="B42" s="152" t="s">
        <v>141</v>
      </c>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65.25" customHeight="1" x14ac:dyDescent="0.2">
      <c r="A43" s="30" t="s">
        <v>144</v>
      </c>
      <c r="B43" s="153" t="s">
        <v>145</v>
      </c>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45" customHeight="1" x14ac:dyDescent="0.2">
      <c r="A44" s="30" t="s">
        <v>147</v>
      </c>
      <c r="B44" s="153" t="s">
        <v>148</v>
      </c>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68.25" customHeight="1" x14ac:dyDescent="0.2">
      <c r="A45" s="30" t="s">
        <v>150</v>
      </c>
      <c r="B45" s="153" t="s">
        <v>151</v>
      </c>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12.75"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25.5" x14ac:dyDescent="0.2">
      <c r="A47" s="95"/>
      <c r="B47" s="32" t="s">
        <v>154</v>
      </c>
      <c r="C47" s="145"/>
      <c r="D47" s="91"/>
      <c r="E47" s="91"/>
      <c r="F47" s="91"/>
      <c r="G47" s="91"/>
      <c r="H47" s="92"/>
      <c r="I47" s="18"/>
      <c r="J47" s="18"/>
      <c r="K47" s="18"/>
      <c r="L47" s="18"/>
      <c r="M47" s="18"/>
      <c r="N47" s="18"/>
      <c r="O47" s="18"/>
      <c r="P47" s="18"/>
      <c r="Q47" s="18"/>
      <c r="R47" s="18"/>
      <c r="S47" s="18"/>
      <c r="T47" s="18"/>
      <c r="U47" s="18"/>
      <c r="V47" s="18"/>
      <c r="W47" s="18"/>
      <c r="X47" s="18"/>
      <c r="Y47" s="18"/>
      <c r="Z47" s="18"/>
    </row>
    <row r="48" spans="1:26" ht="12.75"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156</v>
      </c>
      <c r="B49" s="155" t="s">
        <v>158</v>
      </c>
      <c r="C49" s="146" t="s">
        <v>159</v>
      </c>
      <c r="D49" s="92"/>
      <c r="E49" s="147" t="s">
        <v>161</v>
      </c>
      <c r="F49" s="148" t="s">
        <v>162</v>
      </c>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v>46241</v>
      </c>
      <c r="D50" s="92"/>
      <c r="E50" s="97"/>
      <c r="F50" s="114"/>
      <c r="G50" s="134"/>
      <c r="H50" s="37">
        <v>46241</v>
      </c>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t="s">
        <v>179</v>
      </c>
      <c r="D53" s="91"/>
      <c r="E53" s="91"/>
      <c r="F53" s="92"/>
      <c r="G53" s="43" t="s">
        <v>180</v>
      </c>
      <c r="H53" s="37">
        <v>46241</v>
      </c>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49"/>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A51:H51"/>
    <mergeCell ref="C52:F52"/>
    <mergeCell ref="C53:F53"/>
    <mergeCell ref="C41:H41"/>
    <mergeCell ref="B42:H42"/>
    <mergeCell ref="B43:H43"/>
    <mergeCell ref="B44:H44"/>
    <mergeCell ref="B45:H45"/>
    <mergeCell ref="C46:H46"/>
    <mergeCell ref="C47:H47"/>
    <mergeCell ref="A46:A48"/>
    <mergeCell ref="A49:A50"/>
    <mergeCell ref="B49:B50"/>
    <mergeCell ref="A39:A41"/>
    <mergeCell ref="C39:H39"/>
    <mergeCell ref="C40:H40"/>
    <mergeCell ref="C48:H48"/>
    <mergeCell ref="C49:D49"/>
    <mergeCell ref="E49:E50"/>
    <mergeCell ref="F49:G50"/>
    <mergeCell ref="C50:D50"/>
    <mergeCell ref="D34:H34"/>
    <mergeCell ref="D35:H35"/>
    <mergeCell ref="D36:H36"/>
    <mergeCell ref="D37:H37"/>
    <mergeCell ref="B38:H38"/>
    <mergeCell ref="D29:H29"/>
    <mergeCell ref="D30:H30"/>
    <mergeCell ref="D31:H31"/>
    <mergeCell ref="D32:H32"/>
    <mergeCell ref="D33:H33"/>
    <mergeCell ref="D24:H24"/>
    <mergeCell ref="D25:H25"/>
    <mergeCell ref="D26:H26"/>
    <mergeCell ref="D27:H27"/>
    <mergeCell ref="D28:H28"/>
    <mergeCell ref="D19:H19"/>
    <mergeCell ref="D20:H20"/>
    <mergeCell ref="D21:H21"/>
    <mergeCell ref="D22:H22"/>
    <mergeCell ref="D23:H23"/>
    <mergeCell ref="D14:H14"/>
    <mergeCell ref="D15:H15"/>
    <mergeCell ref="D16:H16"/>
    <mergeCell ref="D17:H17"/>
    <mergeCell ref="D18:H18"/>
    <mergeCell ref="B9:H9"/>
    <mergeCell ref="B10:H10"/>
    <mergeCell ref="B11:H11"/>
    <mergeCell ref="B12:H12"/>
    <mergeCell ref="D13:H13"/>
    <mergeCell ref="B4:F4"/>
    <mergeCell ref="B5:F5"/>
    <mergeCell ref="B6:H6"/>
    <mergeCell ref="B7:H7"/>
    <mergeCell ref="B8:H8"/>
    <mergeCell ref="A1:B2"/>
    <mergeCell ref="C1:G1"/>
    <mergeCell ref="H1:H2"/>
    <mergeCell ref="C2:G2"/>
    <mergeCell ref="B3:H3"/>
    <mergeCell ref="A13:A37"/>
    <mergeCell ref="B13:B17"/>
    <mergeCell ref="B18:B22"/>
    <mergeCell ref="B23:B27"/>
    <mergeCell ref="B28:B32"/>
    <mergeCell ref="B33:B37"/>
  </mergeCells>
  <pageMargins left="0.25" right="0.25" top="0.75" bottom="0.75"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showGridLines="0" workbookViewId="0">
      <selection sqref="A1:C3"/>
    </sheetView>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1" customWidth="1"/>
    <col min="6" max="6" width="18.7109375" customWidth="1"/>
    <col min="7" max="8" width="10.7109375" customWidth="1"/>
    <col min="9" max="26" width="10.5703125" customWidth="1"/>
  </cols>
  <sheetData>
    <row r="1" spans="1:9" ht="12.75" customHeight="1" x14ac:dyDescent="0.2">
      <c r="A1" s="132"/>
      <c r="B1" s="111"/>
      <c r="C1" s="133"/>
      <c r="D1" s="135" t="s">
        <v>0</v>
      </c>
      <c r="E1" s="111"/>
      <c r="F1" s="111"/>
      <c r="G1" s="111"/>
      <c r="H1" s="132"/>
      <c r="I1" s="133"/>
    </row>
    <row r="2" spans="1:9" ht="12.75" customHeight="1" x14ac:dyDescent="0.2">
      <c r="A2" s="112"/>
      <c r="B2" s="113"/>
      <c r="C2" s="157"/>
      <c r="D2" s="137" t="s">
        <v>2</v>
      </c>
      <c r="E2" s="91"/>
      <c r="F2" s="91"/>
      <c r="G2" s="91"/>
      <c r="H2" s="112"/>
      <c r="I2" s="157"/>
    </row>
    <row r="3" spans="1:9" ht="27.75" customHeight="1" x14ac:dyDescent="0.2">
      <c r="A3" s="114"/>
      <c r="B3" s="115"/>
      <c r="C3" s="134"/>
      <c r="D3" s="137" t="s">
        <v>3</v>
      </c>
      <c r="E3" s="91"/>
      <c r="F3" s="91"/>
      <c r="G3" s="92"/>
      <c r="H3" s="114"/>
      <c r="I3" s="134"/>
    </row>
    <row r="4" spans="1:9" ht="12.75" customHeight="1" x14ac:dyDescent="0.2">
      <c r="A4" s="2"/>
      <c r="B4" s="138" t="str">
        <f>+'MODULO 1 '!B3:H3</f>
        <v>Código: CEC-RCYC-02;Revisión: 02</v>
      </c>
      <c r="C4" s="111"/>
      <c r="D4" s="111"/>
      <c r="E4" s="111"/>
      <c r="F4" s="111"/>
      <c r="G4" s="111"/>
      <c r="H4" s="111"/>
      <c r="I4" s="111"/>
    </row>
    <row r="5" spans="1:9" ht="12.75" customHeight="1" x14ac:dyDescent="0.2">
      <c r="A5" s="6" t="s">
        <v>7</v>
      </c>
      <c r="B5" s="162" t="str">
        <f>+'MODULO 1 '!B4:F4</f>
        <v>DIPLOMADO EN BIG DATA E INTELIGENCIA ARTIFICIAL</v>
      </c>
      <c r="C5" s="91"/>
      <c r="D5" s="91"/>
      <c r="E5" s="91"/>
      <c r="F5" s="92"/>
      <c r="G5" s="9" t="s">
        <v>9</v>
      </c>
      <c r="H5" s="158" t="str">
        <f>+'RESUMEN DIPLOMADO'!M3</f>
        <v>150 horas
120 horas sincrónicas y
30 horas asincrónicas</v>
      </c>
      <c r="I5" s="92"/>
    </row>
    <row r="6" spans="1:9" ht="12.75" customHeight="1" x14ac:dyDescent="0.2">
      <c r="A6" s="6" t="s">
        <v>12</v>
      </c>
      <c r="B6" s="163" t="str">
        <f>+'MODULO 1 '!B5:F5</f>
        <v>MÓDULO 1. FUNDAMENTOS DE BIG DATA E INTELIGENCIA ARTIFICIAL</v>
      </c>
      <c r="C6" s="115"/>
      <c r="D6" s="115"/>
      <c r="E6" s="115"/>
      <c r="F6" s="134"/>
      <c r="G6" s="9" t="s">
        <v>9</v>
      </c>
      <c r="H6" s="164" t="str">
        <f>+'MODULO 1 '!H5</f>
        <v>25 horas
(20 horas sincrónicas y 5 horas asincrónicas)</v>
      </c>
      <c r="I6" s="92"/>
    </row>
    <row r="7" spans="1:9" ht="24" customHeight="1" x14ac:dyDescent="0.2">
      <c r="A7" s="15" t="s">
        <v>18</v>
      </c>
      <c r="B7" s="165" t="s">
        <v>20</v>
      </c>
      <c r="C7" s="91"/>
      <c r="D7" s="91"/>
      <c r="E7" s="91"/>
      <c r="F7" s="91"/>
      <c r="G7" s="91"/>
      <c r="H7" s="91"/>
      <c r="I7" s="92"/>
    </row>
    <row r="8" spans="1:9" ht="24.75" customHeight="1" x14ac:dyDescent="0.2">
      <c r="A8" s="15" t="s">
        <v>23</v>
      </c>
      <c r="B8" s="165" t="str">
        <f>+'MODULO 1 '!B11:H11</f>
        <v>Comprender los fundamentos de Big Data e Inteligencia Artificial mediante conceptos y herramientas tecnológicas en contextos de análisis económico, para identificar aplicaciones orientadas a la toma de decisiones basada en datos.</v>
      </c>
      <c r="C8" s="91"/>
      <c r="D8" s="91"/>
      <c r="E8" s="91"/>
      <c r="F8" s="91"/>
      <c r="G8" s="91"/>
      <c r="H8" s="91"/>
      <c r="I8" s="92"/>
    </row>
    <row r="9" spans="1:9" ht="72.75" customHeight="1" x14ac:dyDescent="0.2">
      <c r="A9" s="15" t="s">
        <v>30</v>
      </c>
      <c r="B9" s="165" t="str">
        <f>+'MODULO 1 '!B12:H12</f>
        <v>U1. Identificar conceptos fundamentales de IA mediante análisis de aplicaciones tecnológicas en contextos económicos para comprender su impacto institucional.
U2. Analizar tipos de machine learning mediante modelos supervisados y no supervisados en escenarios analíticos para diferenciar enfoques predictivos.
U3. Reconocer ecosistemas Big Data mediante plataformas y arquitecturas de datos en entornos organizacionales para comprender su funcionamiento.
U4. Relacionar analítica avanzada mediante casos económicos institucionales para identificar oportunidades de innovación.
Aplicar herramientas básicas de IA mediante laboratorios prácticos en análisis económico para interpretar resultados analíticos.</v>
      </c>
      <c r="C9" s="91"/>
      <c r="D9" s="91"/>
      <c r="E9" s="91"/>
      <c r="F9" s="91"/>
      <c r="G9" s="91"/>
      <c r="H9" s="91"/>
      <c r="I9" s="92"/>
    </row>
    <row r="10" spans="1:9" ht="12.75" customHeight="1" x14ac:dyDescent="0.2">
      <c r="A10" s="166" t="str">
        <f>+'MODULO 1 '!B13</f>
        <v>Unidad 1. Introducción a Big Data (5 horas)</v>
      </c>
      <c r="B10" s="20" t="s">
        <v>36</v>
      </c>
      <c r="C10" s="20" t="s">
        <v>37</v>
      </c>
      <c r="D10" s="159" t="s">
        <v>41</v>
      </c>
      <c r="E10" s="91"/>
      <c r="F10" s="92"/>
      <c r="G10" s="159" t="s">
        <v>43</v>
      </c>
      <c r="H10" s="92"/>
      <c r="I10" s="20" t="s">
        <v>44</v>
      </c>
    </row>
    <row r="11" spans="1:9" ht="15" customHeight="1" x14ac:dyDescent="0.2">
      <c r="A11" s="95"/>
      <c r="B11" s="20">
        <v>1</v>
      </c>
      <c r="C11" s="21">
        <v>45678</v>
      </c>
      <c r="D11" s="23" t="s">
        <v>47</v>
      </c>
      <c r="E11" s="160" t="str">
        <f>+'MODULO 1 '!D13</f>
        <v>Conceptos de Big Data.</v>
      </c>
      <c r="F11" s="92"/>
      <c r="G11" s="161"/>
      <c r="H11" s="92"/>
      <c r="I11" s="24"/>
    </row>
    <row r="12" spans="1:9" ht="15" customHeight="1" x14ac:dyDescent="0.2">
      <c r="A12" s="95"/>
      <c r="B12" s="20">
        <v>2</v>
      </c>
      <c r="C12" s="20"/>
      <c r="D12" s="23" t="s">
        <v>49</v>
      </c>
      <c r="E12" s="160" t="str">
        <f>+'MODULO 1 '!D14</f>
        <v>Características de los datos masivos.</v>
      </c>
      <c r="F12" s="92"/>
      <c r="G12" s="161"/>
      <c r="H12" s="92"/>
      <c r="I12" s="24"/>
    </row>
    <row r="13" spans="1:9" ht="15" customHeight="1" x14ac:dyDescent="0.2">
      <c r="A13" s="95"/>
      <c r="B13" s="20">
        <v>3</v>
      </c>
      <c r="C13" s="20"/>
      <c r="D13" s="23" t="s">
        <v>52</v>
      </c>
      <c r="E13" s="167" t="str">
        <f>+'MODULO 1 '!D15</f>
        <v>Ecosistemas de datos.</v>
      </c>
      <c r="F13" s="92"/>
      <c r="G13" s="161"/>
      <c r="H13" s="92"/>
      <c r="I13" s="24"/>
    </row>
    <row r="14" spans="1:9" ht="12.75" customHeight="1" x14ac:dyDescent="0.2">
      <c r="A14" s="95"/>
      <c r="B14" s="20"/>
      <c r="C14" s="20"/>
      <c r="D14" s="23" t="s">
        <v>55</v>
      </c>
      <c r="E14" s="167" t="str">
        <f>+'MODULO 1 '!D16</f>
        <v>Transformación digital.</v>
      </c>
      <c r="F14" s="92"/>
      <c r="G14" s="161"/>
      <c r="H14" s="92"/>
      <c r="I14" s="24"/>
    </row>
    <row r="15" spans="1:9" ht="12.75" customHeight="1" x14ac:dyDescent="0.2">
      <c r="A15" s="96"/>
      <c r="B15" s="20"/>
      <c r="C15" s="20"/>
      <c r="D15" s="23" t="s">
        <v>57</v>
      </c>
      <c r="E15" s="167" t="str">
        <f>+'MODULO 1 '!D17</f>
        <v>Aplicaciones institucionales.</v>
      </c>
      <c r="F15" s="92"/>
      <c r="G15" s="161"/>
      <c r="H15" s="92"/>
      <c r="I15" s="24"/>
    </row>
    <row r="16" spans="1:9" ht="12.75" customHeight="1" x14ac:dyDescent="0.2">
      <c r="A16" s="166" t="str">
        <f>+'MODULO 1 '!B18</f>
        <v>Unidad 2. Fundamentos de Inteligencia Artificial (5 horas)</v>
      </c>
      <c r="B16" s="20"/>
      <c r="C16" s="20"/>
      <c r="D16" s="23" t="s">
        <v>61</v>
      </c>
      <c r="E16" s="167" t="str">
        <f>+'MODULO 1 '!D18</f>
        <v>Historia y evolución de la IA.</v>
      </c>
      <c r="F16" s="92"/>
      <c r="G16" s="161"/>
      <c r="H16" s="92"/>
      <c r="I16" s="24"/>
    </row>
    <row r="17" spans="1:9" ht="12.75" customHeight="1" x14ac:dyDescent="0.2">
      <c r="A17" s="95"/>
      <c r="B17" s="20"/>
      <c r="C17" s="20"/>
      <c r="D17" s="23" t="s">
        <v>64</v>
      </c>
      <c r="E17" s="167" t="str">
        <f>+'MODULO 1 '!D19</f>
        <v>Tipos de inteligencia artificial.</v>
      </c>
      <c r="F17" s="92"/>
      <c r="G17" s="161"/>
      <c r="H17" s="92"/>
      <c r="I17" s="24"/>
    </row>
    <row r="18" spans="1:9" ht="12.75" customHeight="1" x14ac:dyDescent="0.2">
      <c r="A18" s="95"/>
      <c r="B18" s="20"/>
      <c r="C18" s="20"/>
      <c r="D18" s="23" t="s">
        <v>66</v>
      </c>
      <c r="E18" s="167" t="str">
        <f>+'MODULO 1 '!D20</f>
        <v>Aprendizaje supervisado.</v>
      </c>
      <c r="F18" s="92"/>
      <c r="G18" s="161"/>
      <c r="H18" s="92"/>
      <c r="I18" s="24"/>
    </row>
    <row r="19" spans="1:9" ht="12.75" customHeight="1" x14ac:dyDescent="0.2">
      <c r="A19" s="95"/>
      <c r="B19" s="20"/>
      <c r="C19" s="20"/>
      <c r="D19" s="23" t="s">
        <v>69</v>
      </c>
      <c r="E19" s="167" t="str">
        <f>+'MODULO 1 '!D21</f>
        <v>Aprendizaje no supervisado.</v>
      </c>
      <c r="F19" s="92"/>
      <c r="G19" s="161"/>
      <c r="H19" s="92"/>
      <c r="I19" s="24"/>
    </row>
    <row r="20" spans="1:9" ht="12.75" customHeight="1" x14ac:dyDescent="0.2">
      <c r="A20" s="96"/>
      <c r="B20" s="20"/>
      <c r="C20" s="20"/>
      <c r="D20" s="23" t="s">
        <v>72</v>
      </c>
      <c r="E20" s="167" t="str">
        <f>+'MODULO 1 '!D22</f>
        <v>Casos de uso.</v>
      </c>
      <c r="F20" s="92"/>
      <c r="G20" s="161"/>
      <c r="H20" s="92"/>
      <c r="I20" s="24"/>
    </row>
    <row r="21" spans="1:9" ht="12.75" customHeight="1" x14ac:dyDescent="0.2">
      <c r="A21" s="166" t="str">
        <f>+'MODULO 1 '!B23</f>
        <v>Unidad 3. Machine Learning y Analítica (5 horas)</v>
      </c>
      <c r="B21" s="20"/>
      <c r="C21" s="20"/>
      <c r="D21" s="23" t="s">
        <v>76</v>
      </c>
      <c r="E21" s="167" t="str">
        <f>+'MODULO 1 '!D23</f>
        <v>Modelos predictivos.</v>
      </c>
      <c r="F21" s="92"/>
      <c r="G21" s="161"/>
      <c r="H21" s="92"/>
      <c r="I21" s="24"/>
    </row>
    <row r="22" spans="1:9" ht="12.75" customHeight="1" x14ac:dyDescent="0.2">
      <c r="A22" s="95"/>
      <c r="B22" s="20"/>
      <c r="C22" s="20"/>
      <c r="D22" s="23" t="s">
        <v>78</v>
      </c>
      <c r="E22" s="167" t="str">
        <f>+'MODULO 1 '!D24</f>
        <v>Clasificación y regresión.</v>
      </c>
      <c r="F22" s="92"/>
      <c r="G22" s="161"/>
      <c r="H22" s="92"/>
      <c r="I22" s="24"/>
    </row>
    <row r="23" spans="1:9" ht="12.75" customHeight="1" x14ac:dyDescent="0.2">
      <c r="A23" s="95"/>
      <c r="B23" s="20"/>
      <c r="C23" s="20"/>
      <c r="D23" s="23" t="s">
        <v>81</v>
      </c>
      <c r="E23" s="167" t="str">
        <f>+'MODULO 1 '!D25</f>
        <v>Segmentación.</v>
      </c>
      <c r="F23" s="92"/>
      <c r="G23" s="161"/>
      <c r="H23" s="92"/>
      <c r="I23" s="24"/>
    </row>
    <row r="24" spans="1:9" ht="12.75" customHeight="1" x14ac:dyDescent="0.2">
      <c r="A24" s="95"/>
      <c r="B24" s="20"/>
      <c r="C24" s="20"/>
      <c r="D24" s="23" t="s">
        <v>85</v>
      </c>
      <c r="E24" s="167" t="str">
        <f>+'MODULO 1 '!D26</f>
        <v>Evaluación de modelos.</v>
      </c>
      <c r="F24" s="92"/>
      <c r="G24" s="161"/>
      <c r="H24" s="92"/>
      <c r="I24" s="24"/>
    </row>
    <row r="25" spans="1:9" ht="12.75" customHeight="1" x14ac:dyDescent="0.2">
      <c r="A25" s="96"/>
      <c r="B25" s="20"/>
      <c r="C25" s="20"/>
      <c r="D25" s="23" t="s">
        <v>87</v>
      </c>
      <c r="E25" s="167" t="str">
        <f>+'MODULO 1 '!D27</f>
        <v>Interpretación de resultados.</v>
      </c>
      <c r="F25" s="92"/>
      <c r="G25" s="161"/>
      <c r="H25" s="92"/>
      <c r="I25" s="24"/>
    </row>
    <row r="26" spans="1:9" ht="12.75" customHeight="1" x14ac:dyDescent="0.2">
      <c r="A26" s="166" t="str">
        <f>+'MODULO 1 '!B28</f>
        <v>Unidad 4. IA aplicada a Economía (5 horas)</v>
      </c>
      <c r="B26" s="20"/>
      <c r="C26" s="20"/>
      <c r="D26" s="23" t="s">
        <v>92</v>
      </c>
      <c r="E26" s="167" t="str">
        <f>+'MODULO 1 '!D28</f>
        <v>Analítica económica.</v>
      </c>
      <c r="F26" s="92"/>
      <c r="G26" s="161"/>
      <c r="H26" s="92"/>
      <c r="I26" s="24"/>
    </row>
    <row r="27" spans="1:9" ht="12.75" customHeight="1" x14ac:dyDescent="0.2">
      <c r="A27" s="95"/>
      <c r="B27" s="20"/>
      <c r="C27" s="20"/>
      <c r="D27" s="23" t="s">
        <v>95</v>
      </c>
      <c r="E27" s="167" t="str">
        <f>+'MODULO 1 '!D29</f>
        <v>Variables macroeconómicas.</v>
      </c>
      <c r="F27" s="92"/>
      <c r="G27" s="161"/>
      <c r="H27" s="92"/>
      <c r="I27" s="24"/>
    </row>
    <row r="28" spans="1:9" ht="12.75" customHeight="1" x14ac:dyDescent="0.2">
      <c r="A28" s="95"/>
      <c r="B28" s="20"/>
      <c r="C28" s="20"/>
      <c r="D28" s="23" t="s">
        <v>98</v>
      </c>
      <c r="E28" s="167" t="str">
        <f>+'MODULO 1 '!D30</f>
        <v>Predicción económica.</v>
      </c>
      <c r="F28" s="92"/>
      <c r="G28" s="161"/>
      <c r="H28" s="92"/>
      <c r="I28" s="24"/>
    </row>
    <row r="29" spans="1:9" ht="12.75" customHeight="1" x14ac:dyDescent="0.2">
      <c r="A29" s="95"/>
      <c r="B29" s="20"/>
      <c r="C29" s="20"/>
      <c r="D29" s="23" t="s">
        <v>101</v>
      </c>
      <c r="E29" s="167" t="str">
        <f>+'MODULO 1 '!D31</f>
        <v>Automatización de análisis.</v>
      </c>
      <c r="F29" s="92"/>
      <c r="G29" s="161"/>
      <c r="H29" s="92"/>
      <c r="I29" s="24"/>
    </row>
    <row r="30" spans="1:9" ht="12.75" customHeight="1" x14ac:dyDescent="0.2">
      <c r="A30" s="96"/>
      <c r="B30" s="20"/>
      <c r="C30" s="20"/>
      <c r="D30" s="23" t="s">
        <v>104</v>
      </c>
      <c r="E30" s="167" t="str">
        <f>+'MODULO 1 '!D32</f>
        <v>Innovación institucional.</v>
      </c>
      <c r="F30" s="92"/>
      <c r="G30" s="161"/>
      <c r="H30" s="92"/>
      <c r="I30" s="24"/>
    </row>
    <row r="31" spans="1:9" ht="12.75" customHeight="1" x14ac:dyDescent="0.2">
      <c r="A31" s="166" t="str">
        <f>+'MODULO 1 '!B33</f>
        <v>Unidad 5. Taller Introductorio (5 horas)</v>
      </c>
      <c r="B31" s="20"/>
      <c r="C31" s="20"/>
      <c r="D31" s="23" t="s">
        <v>108</v>
      </c>
      <c r="E31" s="167" t="str">
        <f>+'MODULO 1 '!D33</f>
        <v>Laboratorio con Python.</v>
      </c>
      <c r="F31" s="92"/>
      <c r="G31" s="161"/>
      <c r="H31" s="92"/>
      <c r="I31" s="24"/>
    </row>
    <row r="32" spans="1:9" ht="12.75" customHeight="1" x14ac:dyDescent="0.2">
      <c r="A32" s="95"/>
      <c r="B32" s="20"/>
      <c r="C32" s="20"/>
      <c r="D32" s="23" t="s">
        <v>111</v>
      </c>
      <c r="E32" s="167" t="str">
        <f>+'MODULO 1 '!D34</f>
        <v>Introducción a R.</v>
      </c>
      <c r="F32" s="92"/>
      <c r="G32" s="161"/>
      <c r="H32" s="92"/>
      <c r="I32" s="24"/>
    </row>
    <row r="33" spans="1:9" ht="12.75" customHeight="1" x14ac:dyDescent="0.2">
      <c r="A33" s="95"/>
      <c r="B33" s="20"/>
      <c r="C33" s="20"/>
      <c r="D33" s="23" t="s">
        <v>113</v>
      </c>
      <c r="E33" s="167" t="str">
        <f>+'MODULO 1 '!D35</f>
        <v>Exploración de datos.</v>
      </c>
      <c r="F33" s="92"/>
      <c r="G33" s="161"/>
      <c r="H33" s="92"/>
      <c r="I33" s="24"/>
    </row>
    <row r="34" spans="1:9" ht="12.75" customHeight="1" x14ac:dyDescent="0.2">
      <c r="A34" s="95"/>
      <c r="B34" s="20"/>
      <c r="C34" s="20"/>
      <c r="D34" s="23" t="s">
        <v>116</v>
      </c>
      <c r="E34" s="167" t="str">
        <f>+'MODULO 1 '!D36</f>
        <v>Visualización básica.</v>
      </c>
      <c r="F34" s="92"/>
      <c r="G34" s="161"/>
      <c r="H34" s="92"/>
      <c r="I34" s="24"/>
    </row>
    <row r="35" spans="1:9" ht="12.75" customHeight="1" x14ac:dyDescent="0.2">
      <c r="A35" s="96"/>
      <c r="B35" s="20"/>
      <c r="C35" s="20"/>
      <c r="D35" s="23" t="s">
        <v>119</v>
      </c>
      <c r="E35" s="167" t="str">
        <f>+'MODULO 1 '!D37</f>
        <v>Ejercicios prácticos.</v>
      </c>
      <c r="F35" s="92"/>
      <c r="G35" s="161"/>
      <c r="H35" s="92"/>
      <c r="I35" s="24"/>
    </row>
    <row r="36" spans="1:9" ht="69.75" customHeight="1" x14ac:dyDescent="0.2">
      <c r="A36" s="36" t="s">
        <v>140</v>
      </c>
      <c r="B36" s="170" t="str">
        <f>+'MODULO 1 '!B42:H42</f>
        <v>Géron, A. (2022). Hands-On Machine Learning with Scikit-Learn, Keras, and TensorFlow. O'Reilly Media. https://www.oreilly.com
Russell, S., &amp; Norvig, P. (2021). Artificial Intelligence: A Modern Approach. Pearson. https://aima.cs.berkeley.edu
Provost, F., &amp; Fawcett, T. (2023). Data Science for Business. O'Reilly Media. https://www.oreilly.com</v>
      </c>
      <c r="C36" s="91"/>
      <c r="D36" s="91"/>
      <c r="E36" s="91"/>
      <c r="F36" s="91"/>
      <c r="G36" s="91"/>
      <c r="H36" s="91"/>
      <c r="I36" s="92"/>
    </row>
    <row r="37" spans="1:9" ht="12.75" customHeight="1" x14ac:dyDescent="0.2">
      <c r="A37" s="175" t="s">
        <v>167</v>
      </c>
      <c r="B37" s="168" t="s">
        <v>44</v>
      </c>
      <c r="C37" s="91"/>
      <c r="D37" s="92"/>
      <c r="E37" s="168" t="s">
        <v>171</v>
      </c>
      <c r="F37" s="92"/>
      <c r="G37" s="39" t="s">
        <v>172</v>
      </c>
      <c r="H37" s="39" t="s">
        <v>176</v>
      </c>
      <c r="I37" s="39" t="s">
        <v>177</v>
      </c>
    </row>
    <row r="38" spans="1:9" ht="12.75" customHeight="1" x14ac:dyDescent="0.2">
      <c r="A38" s="95"/>
      <c r="B38" s="169"/>
      <c r="C38" s="91"/>
      <c r="D38" s="92"/>
      <c r="E38" s="169"/>
      <c r="F38" s="92"/>
      <c r="G38" s="42"/>
      <c r="H38" s="42"/>
      <c r="I38" s="47">
        <f t="shared" ref="I38:I42" si="0">+G38*H38</f>
        <v>0</v>
      </c>
    </row>
    <row r="39" spans="1:9" ht="12.75" customHeight="1" x14ac:dyDescent="0.2">
      <c r="A39" s="95"/>
      <c r="B39" s="169"/>
      <c r="C39" s="91"/>
      <c r="D39" s="92"/>
      <c r="E39" s="169"/>
      <c r="F39" s="92"/>
      <c r="G39" s="42"/>
      <c r="H39" s="42"/>
      <c r="I39" s="47">
        <f t="shared" si="0"/>
        <v>0</v>
      </c>
    </row>
    <row r="40" spans="1:9" ht="12.75" customHeight="1" x14ac:dyDescent="0.2">
      <c r="A40" s="95"/>
      <c r="B40" s="169"/>
      <c r="C40" s="91"/>
      <c r="D40" s="92"/>
      <c r="E40" s="169"/>
      <c r="F40" s="92"/>
      <c r="G40" s="42"/>
      <c r="H40" s="42"/>
      <c r="I40" s="47">
        <f t="shared" si="0"/>
        <v>0</v>
      </c>
    </row>
    <row r="41" spans="1:9" ht="12.75" customHeight="1" x14ac:dyDescent="0.2">
      <c r="A41" s="95"/>
      <c r="B41" s="169"/>
      <c r="C41" s="91"/>
      <c r="D41" s="92"/>
      <c r="E41" s="169"/>
      <c r="F41" s="92"/>
      <c r="G41" s="42"/>
      <c r="H41" s="42"/>
      <c r="I41" s="47">
        <f t="shared" si="0"/>
        <v>0</v>
      </c>
    </row>
    <row r="42" spans="1:9" ht="12.75" customHeight="1" x14ac:dyDescent="0.2">
      <c r="A42" s="95"/>
      <c r="B42" s="169"/>
      <c r="C42" s="91"/>
      <c r="D42" s="92"/>
      <c r="E42" s="169"/>
      <c r="F42" s="92"/>
      <c r="G42" s="42"/>
      <c r="H42" s="42"/>
      <c r="I42" s="47">
        <f t="shared" si="0"/>
        <v>0</v>
      </c>
    </row>
    <row r="43" spans="1:9" ht="12.75" customHeight="1" x14ac:dyDescent="0.2">
      <c r="A43" s="97"/>
      <c r="B43" s="171" t="s">
        <v>181</v>
      </c>
      <c r="C43" s="91"/>
      <c r="D43" s="91"/>
      <c r="E43" s="91"/>
      <c r="F43" s="91"/>
      <c r="G43" s="91"/>
      <c r="H43" s="92"/>
      <c r="I43" s="47">
        <f>SUM(I38:I42)</f>
        <v>0</v>
      </c>
    </row>
    <row r="44" spans="1:9" ht="12.75" customHeight="1" x14ac:dyDescent="0.2">
      <c r="A44" s="172" t="s">
        <v>182</v>
      </c>
      <c r="B44" s="173"/>
      <c r="C44" s="111"/>
      <c r="D44" s="111"/>
      <c r="E44" s="133"/>
      <c r="F44" s="50" t="s">
        <v>183</v>
      </c>
      <c r="G44" s="172" t="s">
        <v>161</v>
      </c>
      <c r="H44" s="174"/>
      <c r="I44" s="133"/>
    </row>
    <row r="45" spans="1:9" ht="12.75" customHeight="1" x14ac:dyDescent="0.2">
      <c r="A45" s="97"/>
      <c r="B45" s="114"/>
      <c r="C45" s="115"/>
      <c r="D45" s="115"/>
      <c r="E45" s="134"/>
      <c r="F45" s="52"/>
      <c r="G45" s="97"/>
      <c r="H45" s="114"/>
      <c r="I45" s="134"/>
    </row>
    <row r="46" spans="1:9" ht="12.75" customHeight="1" x14ac:dyDescent="0.2">
      <c r="A46" s="44"/>
      <c r="B46" s="54"/>
      <c r="C46" s="54"/>
      <c r="D46" s="48"/>
      <c r="E46" s="48"/>
      <c r="F46" s="49"/>
      <c r="G46" s="55"/>
      <c r="H46" s="55"/>
      <c r="I46" s="55"/>
    </row>
    <row r="47" spans="1:9" ht="12.75" customHeight="1" x14ac:dyDescent="0.2"/>
    <row r="48" spans="1:9"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89">
    <mergeCell ref="G16:H16"/>
    <mergeCell ref="G17:H17"/>
    <mergeCell ref="A21:A25"/>
    <mergeCell ref="A26:A30"/>
    <mergeCell ref="E26:F26"/>
    <mergeCell ref="G26:H26"/>
    <mergeCell ref="E27:F27"/>
    <mergeCell ref="G27:H27"/>
    <mergeCell ref="E28:F28"/>
    <mergeCell ref="G28:H28"/>
    <mergeCell ref="E30:F30"/>
    <mergeCell ref="A31:A35"/>
    <mergeCell ref="E31:F31"/>
    <mergeCell ref="E32:F32"/>
    <mergeCell ref="E33:F33"/>
    <mergeCell ref="E34:F34"/>
    <mergeCell ref="E35:F35"/>
    <mergeCell ref="B42:D42"/>
    <mergeCell ref="E42:F42"/>
    <mergeCell ref="B43:H43"/>
    <mergeCell ref="A44:A45"/>
    <mergeCell ref="B44:E45"/>
    <mergeCell ref="G44:G45"/>
    <mergeCell ref="H44:I45"/>
    <mergeCell ref="A37:A43"/>
    <mergeCell ref="B37:D37"/>
    <mergeCell ref="B39:D39"/>
    <mergeCell ref="E39:F39"/>
    <mergeCell ref="B40:D40"/>
    <mergeCell ref="E40:F40"/>
    <mergeCell ref="B41:D41"/>
    <mergeCell ref="E41:F41"/>
    <mergeCell ref="G34:H34"/>
    <mergeCell ref="G35:H35"/>
    <mergeCell ref="E37:F37"/>
    <mergeCell ref="B38:D38"/>
    <mergeCell ref="E38:F38"/>
    <mergeCell ref="B36:I36"/>
    <mergeCell ref="G30:H30"/>
    <mergeCell ref="G31:H31"/>
    <mergeCell ref="G32:H32"/>
    <mergeCell ref="G33:H33"/>
    <mergeCell ref="E23:F23"/>
    <mergeCell ref="G23:H23"/>
    <mergeCell ref="E24:F24"/>
    <mergeCell ref="G24:H24"/>
    <mergeCell ref="E25:F25"/>
    <mergeCell ref="G25:H25"/>
    <mergeCell ref="E29:F29"/>
    <mergeCell ref="G29:H29"/>
    <mergeCell ref="E20:F20"/>
    <mergeCell ref="G20:H20"/>
    <mergeCell ref="G21:H21"/>
    <mergeCell ref="E22:F22"/>
    <mergeCell ref="G22:H22"/>
    <mergeCell ref="E21:F21"/>
    <mergeCell ref="A10:A15"/>
    <mergeCell ref="E18:F18"/>
    <mergeCell ref="G18:H18"/>
    <mergeCell ref="E19:F19"/>
    <mergeCell ref="G19:H19"/>
    <mergeCell ref="E17:F17"/>
    <mergeCell ref="E16:F16"/>
    <mergeCell ref="E12:F12"/>
    <mergeCell ref="G12:H12"/>
    <mergeCell ref="E13:F13"/>
    <mergeCell ref="G13:H13"/>
    <mergeCell ref="E14:F14"/>
    <mergeCell ref="G14:H14"/>
    <mergeCell ref="E15:F15"/>
    <mergeCell ref="G15:H15"/>
    <mergeCell ref="A16:A20"/>
    <mergeCell ref="B4:I4"/>
    <mergeCell ref="H5:I5"/>
    <mergeCell ref="D10:F10"/>
    <mergeCell ref="G10:H10"/>
    <mergeCell ref="E11:F11"/>
    <mergeCell ref="G11:H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0200-000000000000}">
          <x14:formula1>
            <xm:f>'LISTAS-OCULTAR'!$A$1:$A$4</xm:f>
          </x14:formula1>
          <xm:sqref>I11:I35</xm:sqref>
        </x14:dataValidation>
        <x14:dataValidation type="list" allowBlank="1" showErrorMessage="1" xr:uid="{00000000-0002-0000-0200-000001000000}">
          <x14:formula1>
            <xm:f>'LISTAS-OCULTAR'!$A$1:$A$4</xm:f>
          </x14:formula1>
          <xm:sqref>B38:B42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B11" sqref="B11:H11"/>
    </sheetView>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22.5" customHeight="1" x14ac:dyDescent="0.25">
      <c r="A4" s="4" t="s">
        <v>7</v>
      </c>
      <c r="B4" s="139" t="str">
        <f>+'RESUMEN DIPLOMADO'!D3</f>
        <v>DIPLOMADO EN BIG DATA E INTELIGENCIA ARTIFICIAL</v>
      </c>
      <c r="C4" s="91"/>
      <c r="D4" s="91"/>
      <c r="E4" s="91"/>
      <c r="F4" s="92"/>
      <c r="G4" s="7" t="s">
        <v>9</v>
      </c>
      <c r="H4" s="10" t="str">
        <f>+'RESUMEN DIPLOMADO'!M3</f>
        <v>150 horas
120 horas sincrónicas y
30 horas asincrónicas</v>
      </c>
      <c r="I4" s="11"/>
      <c r="J4" s="11"/>
      <c r="K4" s="11"/>
      <c r="L4" s="11"/>
      <c r="M4" s="11"/>
      <c r="N4" s="11"/>
      <c r="O4" s="11"/>
      <c r="P4" s="11"/>
      <c r="Q4" s="11"/>
      <c r="R4" s="11"/>
      <c r="S4" s="11"/>
      <c r="T4" s="11"/>
      <c r="U4" s="11"/>
      <c r="V4" s="11"/>
      <c r="W4" s="11"/>
      <c r="X4" s="11"/>
      <c r="Y4" s="11"/>
      <c r="Z4" s="11"/>
    </row>
    <row r="5" spans="1:26" ht="22.5" customHeight="1" x14ac:dyDescent="0.25">
      <c r="A5" s="12" t="s">
        <v>12</v>
      </c>
      <c r="B5" s="139" t="s">
        <v>27</v>
      </c>
      <c r="C5" s="91"/>
      <c r="D5" s="91"/>
      <c r="E5" s="91"/>
      <c r="F5" s="92"/>
      <c r="G5" s="14" t="s">
        <v>9</v>
      </c>
      <c r="H5" s="16" t="s">
        <v>19</v>
      </c>
      <c r="I5" s="11"/>
      <c r="J5" s="11"/>
      <c r="K5" s="11"/>
      <c r="L5" s="11"/>
      <c r="M5" s="11"/>
      <c r="N5" s="11"/>
      <c r="O5" s="11"/>
      <c r="P5" s="11"/>
      <c r="Q5" s="11"/>
      <c r="R5" s="11"/>
      <c r="S5" s="11"/>
      <c r="T5" s="11"/>
      <c r="U5" s="11"/>
      <c r="V5" s="11"/>
      <c r="W5" s="11"/>
      <c r="X5" s="11"/>
      <c r="Y5" s="11"/>
      <c r="Z5" s="11"/>
    </row>
    <row r="6" spans="1:26" ht="90" customHeight="1" x14ac:dyDescent="0.2">
      <c r="A6" s="17" t="s">
        <v>34</v>
      </c>
      <c r="B6" s="140" t="s">
        <v>35</v>
      </c>
      <c r="C6" s="91"/>
      <c r="D6" s="91"/>
      <c r="E6" s="91"/>
      <c r="F6" s="91"/>
      <c r="G6" s="91"/>
      <c r="H6" s="92"/>
      <c r="I6" s="18"/>
      <c r="J6" s="18"/>
      <c r="K6" s="18"/>
      <c r="L6" s="18"/>
      <c r="M6" s="18"/>
      <c r="N6" s="18"/>
      <c r="O6" s="18"/>
      <c r="P6" s="18"/>
      <c r="Q6" s="18"/>
      <c r="R6" s="18"/>
      <c r="S6" s="18"/>
      <c r="T6" s="18"/>
      <c r="U6" s="18"/>
      <c r="V6" s="18"/>
      <c r="W6" s="18"/>
      <c r="X6" s="18"/>
      <c r="Y6" s="18"/>
      <c r="Z6" s="18"/>
    </row>
    <row r="7" spans="1:26" ht="33.75" customHeight="1" x14ac:dyDescent="0.2">
      <c r="A7" s="17" t="s">
        <v>13</v>
      </c>
      <c r="B7" s="140" t="s">
        <v>39</v>
      </c>
      <c r="C7" s="91"/>
      <c r="D7" s="91"/>
      <c r="E7" s="91"/>
      <c r="F7" s="91"/>
      <c r="G7" s="91"/>
      <c r="H7" s="92"/>
      <c r="I7" s="18"/>
      <c r="J7" s="18"/>
      <c r="K7" s="18"/>
      <c r="L7" s="18"/>
      <c r="M7" s="18"/>
      <c r="N7" s="18"/>
      <c r="O7" s="18"/>
      <c r="P7" s="18"/>
      <c r="Q7" s="18"/>
      <c r="R7" s="18"/>
      <c r="S7" s="18"/>
      <c r="T7" s="18"/>
      <c r="U7" s="18"/>
      <c r="V7" s="18"/>
      <c r="W7" s="18"/>
      <c r="X7" s="18"/>
      <c r="Y7" s="18"/>
      <c r="Z7" s="18"/>
    </row>
    <row r="8" spans="1:26" ht="30" customHeight="1" x14ac:dyDescent="0.2">
      <c r="A8" s="17" t="s">
        <v>31</v>
      </c>
      <c r="B8" s="140" t="s">
        <v>42</v>
      </c>
      <c r="C8" s="91"/>
      <c r="D8" s="91"/>
      <c r="E8" s="91"/>
      <c r="F8" s="91"/>
      <c r="G8" s="91"/>
      <c r="H8" s="92"/>
      <c r="I8" s="18"/>
      <c r="J8" s="18"/>
      <c r="K8" s="18"/>
      <c r="L8" s="18"/>
      <c r="M8" s="18"/>
      <c r="N8" s="18"/>
      <c r="O8" s="18"/>
      <c r="P8" s="18"/>
      <c r="Q8" s="18"/>
      <c r="R8" s="18"/>
      <c r="S8" s="18"/>
      <c r="T8" s="18"/>
      <c r="U8" s="18"/>
      <c r="V8" s="18"/>
      <c r="W8" s="18"/>
      <c r="X8" s="18"/>
      <c r="Y8" s="18"/>
      <c r="Z8" s="18"/>
    </row>
    <row r="9" spans="1:26" ht="30" customHeight="1" x14ac:dyDescent="0.2">
      <c r="A9" s="17" t="s">
        <v>22</v>
      </c>
      <c r="B9" s="140" t="s">
        <v>45</v>
      </c>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20</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t="s">
        <v>51</v>
      </c>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73.5" customHeight="1" x14ac:dyDescent="0.2">
      <c r="A12" s="17" t="s">
        <v>30</v>
      </c>
      <c r="B12" s="140" t="s">
        <v>54</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6.25" customHeight="1" x14ac:dyDescent="0.2">
      <c r="A13" s="130" t="s">
        <v>41</v>
      </c>
      <c r="B13" s="131" t="s">
        <v>59</v>
      </c>
      <c r="C13" s="22" t="s">
        <v>47</v>
      </c>
      <c r="D13" s="141" t="s">
        <v>63</v>
      </c>
      <c r="E13" s="91"/>
      <c r="F13" s="91"/>
      <c r="G13" s="91"/>
      <c r="H13" s="92"/>
      <c r="I13" s="18"/>
      <c r="J13" s="18"/>
      <c r="K13" s="18"/>
      <c r="L13" s="18"/>
      <c r="M13" s="18"/>
      <c r="N13" s="18"/>
      <c r="O13" s="18"/>
      <c r="P13" s="18"/>
      <c r="Q13" s="18"/>
      <c r="R13" s="18"/>
      <c r="S13" s="18"/>
      <c r="T13" s="18"/>
      <c r="U13" s="18"/>
      <c r="V13" s="18"/>
      <c r="W13" s="18"/>
      <c r="X13" s="18"/>
      <c r="Y13" s="18"/>
      <c r="Z13" s="18"/>
    </row>
    <row r="14" spans="1:26" ht="26.25" customHeight="1" x14ac:dyDescent="0.2">
      <c r="A14" s="95"/>
      <c r="B14" s="95"/>
      <c r="C14" s="22" t="s">
        <v>49</v>
      </c>
      <c r="D14" s="141" t="s">
        <v>68</v>
      </c>
      <c r="E14" s="91"/>
      <c r="F14" s="91"/>
      <c r="G14" s="91"/>
      <c r="H14" s="92"/>
      <c r="I14" s="18"/>
      <c r="J14" s="18"/>
      <c r="K14" s="18"/>
      <c r="L14" s="18"/>
      <c r="M14" s="18"/>
      <c r="N14" s="18"/>
      <c r="O14" s="18"/>
      <c r="P14" s="18"/>
      <c r="Q14" s="18"/>
      <c r="R14" s="18"/>
      <c r="S14" s="18"/>
      <c r="T14" s="18"/>
      <c r="U14" s="18"/>
      <c r="V14" s="18"/>
      <c r="W14" s="18"/>
      <c r="X14" s="18"/>
      <c r="Y14" s="18"/>
      <c r="Z14" s="18"/>
    </row>
    <row r="15" spans="1:26" ht="26.25" customHeight="1" x14ac:dyDescent="0.2">
      <c r="A15" s="95"/>
      <c r="B15" s="95"/>
      <c r="C15" s="22" t="s">
        <v>52</v>
      </c>
      <c r="D15" s="142" t="s">
        <v>71</v>
      </c>
      <c r="E15" s="91"/>
      <c r="F15" s="91"/>
      <c r="G15" s="91"/>
      <c r="H15" s="92"/>
      <c r="I15" s="18"/>
      <c r="J15" s="18"/>
      <c r="K15" s="18"/>
      <c r="L15" s="18"/>
      <c r="M15" s="18"/>
      <c r="N15" s="18"/>
      <c r="O15" s="18"/>
      <c r="P15" s="18"/>
      <c r="Q15" s="18"/>
      <c r="R15" s="18"/>
      <c r="S15" s="18"/>
      <c r="T15" s="18"/>
      <c r="U15" s="18"/>
      <c r="V15" s="18"/>
      <c r="W15" s="18"/>
      <c r="X15" s="18"/>
      <c r="Y15" s="18"/>
      <c r="Z15" s="18"/>
    </row>
    <row r="16" spans="1:26" ht="26.25" customHeight="1" x14ac:dyDescent="0.2">
      <c r="A16" s="95"/>
      <c r="B16" s="95"/>
      <c r="C16" s="22" t="s">
        <v>55</v>
      </c>
      <c r="D16" s="142" t="s">
        <v>75</v>
      </c>
      <c r="E16" s="91"/>
      <c r="F16" s="91"/>
      <c r="G16" s="91"/>
      <c r="H16" s="92"/>
      <c r="I16" s="18"/>
      <c r="J16" s="18"/>
      <c r="K16" s="18"/>
      <c r="L16" s="18"/>
      <c r="M16" s="18"/>
      <c r="N16" s="18"/>
      <c r="O16" s="18"/>
      <c r="P16" s="18"/>
      <c r="Q16" s="18"/>
      <c r="R16" s="18"/>
      <c r="S16" s="18"/>
      <c r="T16" s="18"/>
      <c r="U16" s="18"/>
      <c r="V16" s="18"/>
      <c r="W16" s="18"/>
      <c r="X16" s="18"/>
      <c r="Y16" s="18"/>
      <c r="Z16" s="18"/>
    </row>
    <row r="17" spans="1:26" ht="26.25" customHeight="1" x14ac:dyDescent="0.2">
      <c r="A17" s="95"/>
      <c r="B17" s="97"/>
      <c r="C17" s="22" t="s">
        <v>57</v>
      </c>
      <c r="D17" s="142" t="s">
        <v>80</v>
      </c>
      <c r="E17" s="91"/>
      <c r="F17" s="91"/>
      <c r="G17" s="91"/>
      <c r="H17" s="92"/>
      <c r="I17" s="18"/>
      <c r="J17" s="18"/>
      <c r="K17" s="18"/>
      <c r="L17" s="18"/>
      <c r="M17" s="18"/>
      <c r="N17" s="18"/>
      <c r="O17" s="18"/>
      <c r="P17" s="18"/>
      <c r="Q17" s="18"/>
      <c r="R17" s="18"/>
      <c r="S17" s="18"/>
      <c r="T17" s="18"/>
      <c r="U17" s="18"/>
      <c r="V17" s="18"/>
      <c r="W17" s="18"/>
      <c r="X17" s="18"/>
      <c r="Y17" s="18"/>
      <c r="Z17" s="18"/>
    </row>
    <row r="18" spans="1:26" ht="26.25" customHeight="1" x14ac:dyDescent="0.2">
      <c r="A18" s="95"/>
      <c r="B18" s="131" t="s">
        <v>83</v>
      </c>
      <c r="C18" s="22" t="s">
        <v>61</v>
      </c>
      <c r="D18" s="142" t="s">
        <v>84</v>
      </c>
      <c r="E18" s="91"/>
      <c r="F18" s="91"/>
      <c r="G18" s="91"/>
      <c r="H18" s="92"/>
      <c r="I18" s="18"/>
      <c r="J18" s="18"/>
      <c r="K18" s="18"/>
      <c r="L18" s="18"/>
      <c r="M18" s="18"/>
      <c r="N18" s="18"/>
      <c r="O18" s="18"/>
      <c r="P18" s="18"/>
      <c r="Q18" s="18"/>
      <c r="R18" s="18"/>
      <c r="S18" s="18"/>
      <c r="T18" s="18"/>
      <c r="U18" s="18"/>
      <c r="V18" s="18"/>
      <c r="W18" s="18"/>
      <c r="X18" s="18"/>
      <c r="Y18" s="18"/>
      <c r="Z18" s="18"/>
    </row>
    <row r="19" spans="1:26" ht="26.25" customHeight="1" x14ac:dyDescent="0.2">
      <c r="A19" s="95"/>
      <c r="B19" s="95"/>
      <c r="C19" s="22" t="s">
        <v>64</v>
      </c>
      <c r="D19" s="142" t="s">
        <v>89</v>
      </c>
      <c r="E19" s="91"/>
      <c r="F19" s="91"/>
      <c r="G19" s="91"/>
      <c r="H19" s="92"/>
      <c r="I19" s="18"/>
      <c r="J19" s="18"/>
      <c r="K19" s="18"/>
      <c r="L19" s="18"/>
      <c r="M19" s="18"/>
      <c r="N19" s="18"/>
      <c r="O19" s="18"/>
      <c r="P19" s="18"/>
      <c r="Q19" s="18"/>
      <c r="R19" s="18"/>
      <c r="S19" s="18"/>
      <c r="T19" s="18"/>
      <c r="U19" s="18"/>
      <c r="V19" s="18"/>
      <c r="W19" s="18"/>
      <c r="X19" s="18"/>
      <c r="Y19" s="18"/>
      <c r="Z19" s="18"/>
    </row>
    <row r="20" spans="1:26" ht="26.25" customHeight="1" x14ac:dyDescent="0.2">
      <c r="A20" s="95"/>
      <c r="B20" s="95"/>
      <c r="C20" s="22" t="s">
        <v>66</v>
      </c>
      <c r="D20" s="142" t="s">
        <v>90</v>
      </c>
      <c r="E20" s="91"/>
      <c r="F20" s="91"/>
      <c r="G20" s="91"/>
      <c r="H20" s="92"/>
      <c r="I20" s="18"/>
      <c r="J20" s="18"/>
      <c r="K20" s="18"/>
      <c r="L20" s="18"/>
      <c r="M20" s="18"/>
      <c r="N20" s="18"/>
      <c r="O20" s="18"/>
      <c r="P20" s="18"/>
      <c r="Q20" s="18"/>
      <c r="R20" s="18"/>
      <c r="S20" s="18"/>
      <c r="T20" s="18"/>
      <c r="U20" s="18"/>
      <c r="V20" s="18"/>
      <c r="W20" s="18"/>
      <c r="X20" s="18"/>
      <c r="Y20" s="18"/>
      <c r="Z20" s="18"/>
    </row>
    <row r="21" spans="1:26" ht="26.25" customHeight="1" x14ac:dyDescent="0.2">
      <c r="A21" s="95"/>
      <c r="B21" s="95"/>
      <c r="C21" s="22" t="s">
        <v>69</v>
      </c>
      <c r="D21" s="142" t="s">
        <v>94</v>
      </c>
      <c r="E21" s="91"/>
      <c r="F21" s="91"/>
      <c r="G21" s="91"/>
      <c r="H21" s="92"/>
      <c r="I21" s="18"/>
      <c r="J21" s="18"/>
      <c r="K21" s="18"/>
      <c r="L21" s="18"/>
      <c r="M21" s="18"/>
      <c r="N21" s="18"/>
      <c r="O21" s="18"/>
      <c r="P21" s="18"/>
      <c r="Q21" s="18"/>
      <c r="R21" s="18"/>
      <c r="S21" s="18"/>
      <c r="T21" s="18"/>
      <c r="U21" s="18"/>
      <c r="V21" s="18"/>
      <c r="W21" s="18"/>
      <c r="X21" s="18"/>
      <c r="Y21" s="18"/>
      <c r="Z21" s="18"/>
    </row>
    <row r="22" spans="1:26" ht="26.25" customHeight="1" x14ac:dyDescent="0.2">
      <c r="A22" s="95"/>
      <c r="B22" s="97"/>
      <c r="C22" s="22" t="s">
        <v>72</v>
      </c>
      <c r="D22" s="142" t="s">
        <v>97</v>
      </c>
      <c r="E22" s="91"/>
      <c r="F22" s="91"/>
      <c r="G22" s="91"/>
      <c r="H22" s="92"/>
      <c r="I22" s="18"/>
      <c r="J22" s="18"/>
      <c r="K22" s="18"/>
      <c r="L22" s="18"/>
      <c r="M22" s="18"/>
      <c r="N22" s="18"/>
      <c r="O22" s="18"/>
      <c r="P22" s="18"/>
      <c r="Q22" s="18"/>
      <c r="R22" s="18"/>
      <c r="S22" s="18"/>
      <c r="T22" s="18"/>
      <c r="U22" s="18"/>
      <c r="V22" s="18"/>
      <c r="W22" s="18"/>
      <c r="X22" s="18"/>
      <c r="Y22" s="18"/>
      <c r="Z22" s="18"/>
    </row>
    <row r="23" spans="1:26" ht="26.25" customHeight="1" x14ac:dyDescent="0.2">
      <c r="A23" s="95"/>
      <c r="B23" s="131" t="s">
        <v>100</v>
      </c>
      <c r="C23" s="22" t="s">
        <v>76</v>
      </c>
      <c r="D23" s="142" t="s">
        <v>103</v>
      </c>
      <c r="E23" s="91"/>
      <c r="F23" s="91"/>
      <c r="G23" s="91"/>
      <c r="H23" s="92"/>
      <c r="I23" s="18"/>
      <c r="J23" s="18"/>
      <c r="K23" s="18"/>
      <c r="L23" s="18"/>
      <c r="M23" s="18"/>
      <c r="N23" s="18"/>
      <c r="O23" s="18"/>
      <c r="P23" s="18"/>
      <c r="Q23" s="18"/>
      <c r="R23" s="18"/>
      <c r="S23" s="18"/>
      <c r="T23" s="18"/>
      <c r="U23" s="18"/>
      <c r="V23" s="18"/>
      <c r="W23" s="18"/>
      <c r="X23" s="18"/>
      <c r="Y23" s="18"/>
      <c r="Z23" s="18"/>
    </row>
    <row r="24" spans="1:26" ht="26.25" customHeight="1" x14ac:dyDescent="0.2">
      <c r="A24" s="95"/>
      <c r="B24" s="95"/>
      <c r="C24" s="22" t="s">
        <v>78</v>
      </c>
      <c r="D24" s="142" t="s">
        <v>106</v>
      </c>
      <c r="E24" s="91"/>
      <c r="F24" s="91"/>
      <c r="G24" s="91"/>
      <c r="H24" s="92"/>
      <c r="I24" s="18"/>
      <c r="J24" s="18"/>
      <c r="K24" s="18"/>
      <c r="L24" s="18"/>
      <c r="M24" s="18"/>
      <c r="N24" s="18"/>
      <c r="O24" s="18"/>
      <c r="P24" s="18"/>
      <c r="Q24" s="18"/>
      <c r="R24" s="18"/>
      <c r="S24" s="18"/>
      <c r="T24" s="18"/>
      <c r="U24" s="18"/>
      <c r="V24" s="18"/>
      <c r="W24" s="18"/>
      <c r="X24" s="18"/>
      <c r="Y24" s="18"/>
      <c r="Z24" s="18"/>
    </row>
    <row r="25" spans="1:26" ht="26.25" customHeight="1" x14ac:dyDescent="0.2">
      <c r="A25" s="95"/>
      <c r="B25" s="95"/>
      <c r="C25" s="22" t="s">
        <v>81</v>
      </c>
      <c r="D25" s="142" t="s">
        <v>110</v>
      </c>
      <c r="E25" s="91"/>
      <c r="F25" s="91"/>
      <c r="G25" s="91"/>
      <c r="H25" s="92"/>
      <c r="I25" s="18"/>
      <c r="J25" s="18"/>
      <c r="K25" s="18"/>
      <c r="L25" s="18"/>
      <c r="M25" s="18"/>
      <c r="N25" s="18"/>
      <c r="O25" s="18"/>
      <c r="P25" s="18"/>
      <c r="Q25" s="18"/>
      <c r="R25" s="18"/>
      <c r="S25" s="18"/>
      <c r="T25" s="18"/>
      <c r="U25" s="18"/>
      <c r="V25" s="18"/>
      <c r="W25" s="18"/>
      <c r="X25" s="18"/>
      <c r="Y25" s="18"/>
      <c r="Z25" s="18"/>
    </row>
    <row r="26" spans="1:26" ht="26.25" customHeight="1" x14ac:dyDescent="0.2">
      <c r="A26" s="95"/>
      <c r="B26" s="95"/>
      <c r="C26" s="22" t="s">
        <v>85</v>
      </c>
      <c r="D26" s="142" t="s">
        <v>115</v>
      </c>
      <c r="E26" s="91"/>
      <c r="F26" s="91"/>
      <c r="G26" s="91"/>
      <c r="H26" s="92"/>
      <c r="I26" s="18"/>
      <c r="J26" s="18"/>
      <c r="K26" s="18"/>
      <c r="L26" s="18"/>
      <c r="M26" s="18"/>
      <c r="N26" s="18"/>
      <c r="O26" s="18"/>
      <c r="P26" s="18"/>
      <c r="Q26" s="18"/>
      <c r="R26" s="18"/>
      <c r="S26" s="18"/>
      <c r="T26" s="18"/>
      <c r="U26" s="18"/>
      <c r="V26" s="18"/>
      <c r="W26" s="18"/>
      <c r="X26" s="18"/>
      <c r="Y26" s="18"/>
      <c r="Z26" s="18"/>
    </row>
    <row r="27" spans="1:26" ht="26.25" customHeight="1" x14ac:dyDescent="0.2">
      <c r="A27" s="95"/>
      <c r="B27" s="97"/>
      <c r="C27" s="22" t="s">
        <v>87</v>
      </c>
      <c r="D27" s="142" t="s">
        <v>118</v>
      </c>
      <c r="E27" s="91"/>
      <c r="F27" s="91"/>
      <c r="G27" s="91"/>
      <c r="H27" s="92"/>
      <c r="I27" s="18"/>
      <c r="J27" s="18"/>
      <c r="K27" s="18"/>
      <c r="L27" s="18"/>
      <c r="M27" s="18"/>
      <c r="N27" s="18"/>
      <c r="O27" s="18"/>
      <c r="P27" s="18"/>
      <c r="Q27" s="18"/>
      <c r="R27" s="18"/>
      <c r="S27" s="18"/>
      <c r="T27" s="18"/>
      <c r="U27" s="18"/>
      <c r="V27" s="18"/>
      <c r="W27" s="18"/>
      <c r="X27" s="18"/>
      <c r="Y27" s="18"/>
      <c r="Z27" s="18"/>
    </row>
    <row r="28" spans="1:26" ht="26.25" customHeight="1" x14ac:dyDescent="0.2">
      <c r="A28" s="95"/>
      <c r="B28" s="131" t="s">
        <v>121</v>
      </c>
      <c r="C28" s="22" t="s">
        <v>92</v>
      </c>
      <c r="D28" s="142" t="s">
        <v>123</v>
      </c>
      <c r="E28" s="91"/>
      <c r="F28" s="91"/>
      <c r="G28" s="91"/>
      <c r="H28" s="92"/>
      <c r="I28" s="18"/>
      <c r="J28" s="18"/>
      <c r="K28" s="18"/>
      <c r="L28" s="18"/>
      <c r="M28" s="18"/>
      <c r="N28" s="18"/>
      <c r="O28" s="18"/>
      <c r="P28" s="18"/>
      <c r="Q28" s="18"/>
      <c r="R28" s="18"/>
      <c r="S28" s="18"/>
      <c r="T28" s="18"/>
      <c r="U28" s="18"/>
      <c r="V28" s="18"/>
      <c r="W28" s="18"/>
      <c r="X28" s="18"/>
      <c r="Y28" s="18"/>
      <c r="Z28" s="18"/>
    </row>
    <row r="29" spans="1:26" ht="26.25" customHeight="1" x14ac:dyDescent="0.2">
      <c r="A29" s="95"/>
      <c r="B29" s="95"/>
      <c r="C29" s="22" t="s">
        <v>95</v>
      </c>
      <c r="D29" s="142" t="s">
        <v>125</v>
      </c>
      <c r="E29" s="91"/>
      <c r="F29" s="91"/>
      <c r="G29" s="91"/>
      <c r="H29" s="92"/>
      <c r="I29" s="18"/>
      <c r="J29" s="18"/>
      <c r="K29" s="18"/>
      <c r="L29" s="18"/>
      <c r="M29" s="18"/>
      <c r="N29" s="18"/>
      <c r="O29" s="18"/>
      <c r="P29" s="18"/>
      <c r="Q29" s="18"/>
      <c r="R29" s="18"/>
      <c r="S29" s="18"/>
      <c r="T29" s="18"/>
      <c r="U29" s="18"/>
      <c r="V29" s="18"/>
      <c r="W29" s="18"/>
      <c r="X29" s="18"/>
      <c r="Y29" s="18"/>
      <c r="Z29" s="18"/>
    </row>
    <row r="30" spans="1:26" ht="26.25" customHeight="1" x14ac:dyDescent="0.2">
      <c r="A30" s="95"/>
      <c r="B30" s="95"/>
      <c r="C30" s="22" t="s">
        <v>98</v>
      </c>
      <c r="D30" s="142" t="s">
        <v>127</v>
      </c>
      <c r="E30" s="91"/>
      <c r="F30" s="91"/>
      <c r="G30" s="91"/>
      <c r="H30" s="92"/>
      <c r="I30" s="18"/>
      <c r="J30" s="18"/>
      <c r="K30" s="18"/>
      <c r="L30" s="18"/>
      <c r="M30" s="18"/>
      <c r="N30" s="18"/>
      <c r="O30" s="18"/>
      <c r="P30" s="18"/>
      <c r="Q30" s="18"/>
      <c r="R30" s="18"/>
      <c r="S30" s="18"/>
      <c r="T30" s="18"/>
      <c r="U30" s="18"/>
      <c r="V30" s="18"/>
      <c r="W30" s="18"/>
      <c r="X30" s="18"/>
      <c r="Y30" s="18"/>
      <c r="Z30" s="18"/>
    </row>
    <row r="31" spans="1:26" ht="26.25" customHeight="1" x14ac:dyDescent="0.2">
      <c r="A31" s="95"/>
      <c r="B31" s="95"/>
      <c r="C31" s="22" t="s">
        <v>101</v>
      </c>
      <c r="D31" s="142" t="s">
        <v>130</v>
      </c>
      <c r="E31" s="91"/>
      <c r="F31" s="91"/>
      <c r="G31" s="91"/>
      <c r="H31" s="92"/>
      <c r="I31" s="18"/>
      <c r="J31" s="18"/>
      <c r="K31" s="18"/>
      <c r="L31" s="18"/>
      <c r="M31" s="18"/>
      <c r="N31" s="18"/>
      <c r="O31" s="18"/>
      <c r="P31" s="18"/>
      <c r="Q31" s="18"/>
      <c r="R31" s="18"/>
      <c r="S31" s="18"/>
      <c r="T31" s="18"/>
      <c r="U31" s="18"/>
      <c r="V31" s="18"/>
      <c r="W31" s="18"/>
      <c r="X31" s="18"/>
      <c r="Y31" s="18"/>
      <c r="Z31" s="18"/>
    </row>
    <row r="32" spans="1:26" ht="26.25" customHeight="1" x14ac:dyDescent="0.2">
      <c r="A32" s="95"/>
      <c r="B32" s="97"/>
      <c r="C32" s="22" t="s">
        <v>104</v>
      </c>
      <c r="D32" s="142" t="s">
        <v>134</v>
      </c>
      <c r="E32" s="91"/>
      <c r="F32" s="91"/>
      <c r="G32" s="91"/>
      <c r="H32" s="92"/>
      <c r="I32" s="18"/>
      <c r="J32" s="18"/>
      <c r="K32" s="18"/>
      <c r="L32" s="18"/>
      <c r="M32" s="18"/>
      <c r="N32" s="18"/>
      <c r="O32" s="18"/>
      <c r="P32" s="18"/>
      <c r="Q32" s="18"/>
      <c r="R32" s="18"/>
      <c r="S32" s="18"/>
      <c r="T32" s="18"/>
      <c r="U32" s="18"/>
      <c r="V32" s="18"/>
      <c r="W32" s="18"/>
      <c r="X32" s="18"/>
      <c r="Y32" s="18"/>
      <c r="Z32" s="18"/>
    </row>
    <row r="33" spans="1:26" ht="26.25" customHeight="1" x14ac:dyDescent="0.2">
      <c r="A33" s="95"/>
      <c r="B33" s="131" t="s">
        <v>137</v>
      </c>
      <c r="C33" s="22" t="s">
        <v>108</v>
      </c>
      <c r="D33" s="142" t="s">
        <v>138</v>
      </c>
      <c r="E33" s="91"/>
      <c r="F33" s="91"/>
      <c r="G33" s="91"/>
      <c r="H33" s="92"/>
      <c r="I33" s="18"/>
      <c r="J33" s="18"/>
      <c r="K33" s="18"/>
      <c r="L33" s="18"/>
      <c r="M33" s="18"/>
      <c r="N33" s="18"/>
      <c r="O33" s="18"/>
      <c r="P33" s="18"/>
      <c r="Q33" s="18"/>
      <c r="R33" s="18"/>
      <c r="S33" s="18"/>
      <c r="T33" s="18"/>
      <c r="U33" s="18"/>
      <c r="V33" s="18"/>
      <c r="W33" s="18"/>
      <c r="X33" s="18"/>
      <c r="Y33" s="18"/>
      <c r="Z33" s="18"/>
    </row>
    <row r="34" spans="1:26" ht="26.25" customHeight="1" x14ac:dyDescent="0.2">
      <c r="A34" s="95"/>
      <c r="B34" s="95"/>
      <c r="C34" s="22" t="s">
        <v>111</v>
      </c>
      <c r="D34" s="142" t="s">
        <v>139</v>
      </c>
      <c r="E34" s="91"/>
      <c r="F34" s="91"/>
      <c r="G34" s="91"/>
      <c r="H34" s="92"/>
      <c r="I34" s="18"/>
      <c r="J34" s="18"/>
      <c r="K34" s="18"/>
      <c r="L34" s="18"/>
      <c r="M34" s="18"/>
      <c r="N34" s="18"/>
      <c r="O34" s="18"/>
      <c r="P34" s="18"/>
      <c r="Q34" s="18"/>
      <c r="R34" s="18"/>
      <c r="S34" s="18"/>
      <c r="T34" s="18"/>
      <c r="U34" s="18"/>
      <c r="V34" s="18"/>
      <c r="W34" s="18"/>
      <c r="X34" s="18"/>
      <c r="Y34" s="18"/>
      <c r="Z34" s="18"/>
    </row>
    <row r="35" spans="1:26" ht="26.25" customHeight="1" x14ac:dyDescent="0.2">
      <c r="A35" s="95"/>
      <c r="B35" s="95"/>
      <c r="C35" s="22" t="s">
        <v>113</v>
      </c>
      <c r="D35" s="142" t="s">
        <v>142</v>
      </c>
      <c r="E35" s="91"/>
      <c r="F35" s="91"/>
      <c r="G35" s="91"/>
      <c r="H35" s="92"/>
      <c r="I35" s="18"/>
      <c r="J35" s="18"/>
      <c r="K35" s="18"/>
      <c r="L35" s="18"/>
      <c r="M35" s="18"/>
      <c r="N35" s="18"/>
      <c r="O35" s="18"/>
      <c r="P35" s="18"/>
      <c r="Q35" s="18"/>
      <c r="R35" s="18"/>
      <c r="S35" s="18"/>
      <c r="T35" s="18"/>
      <c r="U35" s="18"/>
      <c r="V35" s="18"/>
      <c r="W35" s="18"/>
      <c r="X35" s="18"/>
      <c r="Y35" s="18"/>
      <c r="Z35" s="18"/>
    </row>
    <row r="36" spans="1:26" ht="26.25" customHeight="1" x14ac:dyDescent="0.2">
      <c r="A36" s="95"/>
      <c r="B36" s="95"/>
      <c r="C36" s="22" t="s">
        <v>116</v>
      </c>
      <c r="D36" s="142" t="s">
        <v>143</v>
      </c>
      <c r="E36" s="91"/>
      <c r="F36" s="91"/>
      <c r="G36" s="91"/>
      <c r="H36" s="92"/>
      <c r="I36" s="18"/>
      <c r="J36" s="18"/>
      <c r="K36" s="18"/>
      <c r="L36" s="18"/>
      <c r="M36" s="18"/>
      <c r="N36" s="18"/>
      <c r="O36" s="18"/>
      <c r="P36" s="18"/>
      <c r="Q36" s="18"/>
      <c r="R36" s="18"/>
      <c r="S36" s="18"/>
      <c r="T36" s="18"/>
      <c r="U36" s="18"/>
      <c r="V36" s="18"/>
      <c r="W36" s="18"/>
      <c r="X36" s="18"/>
      <c r="Y36" s="18"/>
      <c r="Z36" s="18"/>
    </row>
    <row r="37" spans="1:26" ht="26.25" customHeight="1" x14ac:dyDescent="0.2">
      <c r="A37" s="96"/>
      <c r="B37" s="97"/>
      <c r="C37" s="22" t="s">
        <v>119</v>
      </c>
      <c r="D37" s="142" t="s">
        <v>146</v>
      </c>
      <c r="E37" s="91"/>
      <c r="F37" s="91"/>
      <c r="G37" s="91"/>
      <c r="H37" s="92"/>
      <c r="I37" s="18"/>
      <c r="J37" s="18"/>
      <c r="K37" s="18"/>
      <c r="L37" s="18"/>
      <c r="M37" s="18"/>
      <c r="N37" s="18"/>
      <c r="O37" s="18"/>
      <c r="P37" s="18"/>
      <c r="Q37" s="18"/>
      <c r="R37" s="18"/>
      <c r="S37" s="18"/>
      <c r="T37" s="18"/>
      <c r="U37" s="18"/>
      <c r="V37" s="18"/>
      <c r="W37" s="18"/>
      <c r="X37" s="18"/>
      <c r="Y37" s="18"/>
      <c r="Z37" s="18"/>
    </row>
    <row r="38" spans="1:26" ht="66.75" customHeight="1" x14ac:dyDescent="0.2">
      <c r="A38" s="26" t="s">
        <v>122</v>
      </c>
      <c r="B38" s="143" t="s">
        <v>149</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129</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132</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136</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54" customHeight="1" x14ac:dyDescent="0.2">
      <c r="A42" s="26" t="s">
        <v>140</v>
      </c>
      <c r="B42" s="152" t="s">
        <v>157</v>
      </c>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32.25" customHeight="1" x14ac:dyDescent="0.2">
      <c r="A43" s="30" t="s">
        <v>144</v>
      </c>
      <c r="B43" s="153" t="s">
        <v>160</v>
      </c>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45" customHeight="1" x14ac:dyDescent="0.2">
      <c r="A44" s="30" t="s">
        <v>147</v>
      </c>
      <c r="B44" s="153" t="s">
        <v>163</v>
      </c>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40.5" customHeight="1" x14ac:dyDescent="0.2">
      <c r="A45" s="30" t="s">
        <v>150</v>
      </c>
      <c r="B45" s="153" t="s">
        <v>165</v>
      </c>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84" customHeight="1"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63.75" customHeight="1" x14ac:dyDescent="0.2">
      <c r="A47" s="95"/>
      <c r="B47" s="32" t="s">
        <v>154</v>
      </c>
      <c r="C47" s="145"/>
      <c r="D47" s="91"/>
      <c r="E47" s="91"/>
      <c r="F47" s="91"/>
      <c r="G47" s="91"/>
      <c r="H47" s="92"/>
      <c r="I47" s="18" t="s">
        <v>175</v>
      </c>
      <c r="J47" s="18"/>
      <c r="K47" s="18"/>
      <c r="L47" s="18"/>
      <c r="M47" s="18"/>
      <c r="N47" s="18"/>
      <c r="O47" s="18"/>
      <c r="P47" s="18"/>
      <c r="Q47" s="18"/>
      <c r="R47" s="18"/>
      <c r="S47" s="18"/>
      <c r="T47" s="18"/>
      <c r="U47" s="18"/>
      <c r="V47" s="18"/>
      <c r="W47" s="18"/>
      <c r="X47" s="18"/>
      <c r="Y47" s="18"/>
      <c r="Z47" s="18"/>
    </row>
    <row r="48" spans="1:26" ht="39.75" customHeight="1"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156</v>
      </c>
      <c r="B49" s="155" t="s">
        <v>158</v>
      </c>
      <c r="C49" s="146" t="s">
        <v>159</v>
      </c>
      <c r="D49" s="92"/>
      <c r="E49" s="147" t="s">
        <v>161</v>
      </c>
      <c r="F49" s="148" t="s">
        <v>162</v>
      </c>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v>46241</v>
      </c>
      <c r="D50" s="92"/>
      <c r="E50" s="97"/>
      <c r="F50" s="114"/>
      <c r="G50" s="134"/>
      <c r="H50" s="37">
        <v>46241</v>
      </c>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t="s">
        <v>179</v>
      </c>
      <c r="D53" s="91"/>
      <c r="E53" s="91"/>
      <c r="F53" s="92"/>
      <c r="G53" s="43" t="s">
        <v>180</v>
      </c>
      <c r="H53" s="37">
        <v>46241</v>
      </c>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51"/>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D37:H37"/>
    <mergeCell ref="B38:H38"/>
    <mergeCell ref="C39:H39"/>
    <mergeCell ref="C40:H40"/>
    <mergeCell ref="C41:H41"/>
    <mergeCell ref="D32:H32"/>
    <mergeCell ref="D33:H33"/>
    <mergeCell ref="D34:H34"/>
    <mergeCell ref="D35:H35"/>
    <mergeCell ref="D36:H36"/>
    <mergeCell ref="D27:H27"/>
    <mergeCell ref="D28:H28"/>
    <mergeCell ref="D29:H29"/>
    <mergeCell ref="D30:H30"/>
    <mergeCell ref="D31:H31"/>
    <mergeCell ref="D22:H22"/>
    <mergeCell ref="D23:H23"/>
    <mergeCell ref="D24:H24"/>
    <mergeCell ref="D25:H25"/>
    <mergeCell ref="D26:H26"/>
    <mergeCell ref="D17:H17"/>
    <mergeCell ref="D18:H18"/>
    <mergeCell ref="D19:H19"/>
    <mergeCell ref="D20:H20"/>
    <mergeCell ref="D21:H21"/>
    <mergeCell ref="B12:H12"/>
    <mergeCell ref="D13:H13"/>
    <mergeCell ref="D14:H14"/>
    <mergeCell ref="D15:H15"/>
    <mergeCell ref="D16:H16"/>
    <mergeCell ref="A51:H51"/>
    <mergeCell ref="C52:F52"/>
    <mergeCell ref="C53:F53"/>
    <mergeCell ref="A1:B2"/>
    <mergeCell ref="C1:G1"/>
    <mergeCell ref="H1:H2"/>
    <mergeCell ref="C2:G2"/>
    <mergeCell ref="B3:H3"/>
    <mergeCell ref="B4:F4"/>
    <mergeCell ref="B5:F5"/>
    <mergeCell ref="B6:H6"/>
    <mergeCell ref="B7:H7"/>
    <mergeCell ref="B8:H8"/>
    <mergeCell ref="B9:H9"/>
    <mergeCell ref="B10:H10"/>
    <mergeCell ref="B11:H11"/>
    <mergeCell ref="A39:A41"/>
    <mergeCell ref="A46:A48"/>
    <mergeCell ref="A49:A50"/>
    <mergeCell ref="B49:B50"/>
    <mergeCell ref="C48:H48"/>
    <mergeCell ref="C49:D49"/>
    <mergeCell ref="E49:E50"/>
    <mergeCell ref="F49:G50"/>
    <mergeCell ref="C50:D50"/>
    <mergeCell ref="B42:H42"/>
    <mergeCell ref="B43:H43"/>
    <mergeCell ref="B44:H44"/>
    <mergeCell ref="B45:H45"/>
    <mergeCell ref="C46:H46"/>
    <mergeCell ref="C47:H47"/>
    <mergeCell ref="A13:A37"/>
    <mergeCell ref="B13:B17"/>
    <mergeCell ref="B18:B22"/>
    <mergeCell ref="B23:B27"/>
    <mergeCell ref="B28:B32"/>
    <mergeCell ref="B33:B37"/>
  </mergeCells>
  <pageMargins left="0.7" right="0.7" top="0.75" bottom="0.75" header="0" footer="0"/>
  <pageSetup paperSize="9" orientation="portrait"/>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showGridLines="0" workbookViewId="0">
      <selection sqref="A1:C3"/>
    </sheetView>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0.7109375" customWidth="1"/>
    <col min="6" max="6" width="18.7109375" customWidth="1"/>
    <col min="7" max="8" width="10.7109375" customWidth="1"/>
    <col min="9" max="26" width="10.5703125" customWidth="1"/>
  </cols>
  <sheetData>
    <row r="1" spans="1:9" ht="12.75" customHeight="1" x14ac:dyDescent="0.2">
      <c r="A1" s="132"/>
      <c r="B1" s="111"/>
      <c r="C1" s="133"/>
      <c r="D1" s="135" t="s">
        <v>0</v>
      </c>
      <c r="E1" s="111"/>
      <c r="F1" s="111"/>
      <c r="G1" s="111"/>
      <c r="H1" s="132"/>
      <c r="I1" s="133"/>
    </row>
    <row r="2" spans="1:9" ht="12.75" customHeight="1" x14ac:dyDescent="0.2">
      <c r="A2" s="112"/>
      <c r="B2" s="113"/>
      <c r="C2" s="157"/>
      <c r="D2" s="137" t="s">
        <v>2</v>
      </c>
      <c r="E2" s="91"/>
      <c r="F2" s="91"/>
      <c r="G2" s="91"/>
      <c r="H2" s="112"/>
      <c r="I2" s="157"/>
    </row>
    <row r="3" spans="1:9" ht="27.75" customHeight="1" x14ac:dyDescent="0.2">
      <c r="A3" s="114"/>
      <c r="B3" s="115"/>
      <c r="C3" s="134"/>
      <c r="D3" s="137" t="s">
        <v>3</v>
      </c>
      <c r="E3" s="91"/>
      <c r="F3" s="91"/>
      <c r="G3" s="92"/>
      <c r="H3" s="114"/>
      <c r="I3" s="134"/>
    </row>
    <row r="4" spans="1:9" ht="12.75" customHeight="1" x14ac:dyDescent="0.2">
      <c r="A4" s="2"/>
      <c r="B4" s="138" t="str">
        <f>+'MODULO 2 '!B3:H3</f>
        <v>Código: CEC-RCYC-02;Revisión: 02</v>
      </c>
      <c r="C4" s="111"/>
      <c r="D4" s="111"/>
      <c r="E4" s="111"/>
      <c r="F4" s="111"/>
      <c r="G4" s="111"/>
      <c r="H4" s="111"/>
      <c r="I4" s="111"/>
    </row>
    <row r="5" spans="1:9" ht="12.75" customHeight="1" x14ac:dyDescent="0.2">
      <c r="A5" s="6" t="s">
        <v>7</v>
      </c>
      <c r="B5" s="162" t="str">
        <f>+'RESUMEN DIPLOMADO'!D3</f>
        <v>DIPLOMADO EN BIG DATA E INTELIGENCIA ARTIFICIAL</v>
      </c>
      <c r="C5" s="91"/>
      <c r="D5" s="91"/>
      <c r="E5" s="91"/>
      <c r="F5" s="92"/>
      <c r="G5" s="58" t="s">
        <v>9</v>
      </c>
      <c r="H5" s="158" t="str">
        <f>+'RESUMEN DIPLOMADO'!M3</f>
        <v>150 horas
120 horas sincrónicas y
30 horas asincrónicas</v>
      </c>
      <c r="I5" s="92"/>
    </row>
    <row r="6" spans="1:9" ht="12.75" customHeight="1" x14ac:dyDescent="0.2">
      <c r="A6" s="6" t="s">
        <v>12</v>
      </c>
      <c r="B6" s="163" t="str">
        <f>+'MODULO 2 '!B5:F5</f>
        <v>MÓDULO 2. PROGRAMACIÓN Y GESTIÓN DE DATOS MASIVOS</v>
      </c>
      <c r="C6" s="115"/>
      <c r="D6" s="115"/>
      <c r="E6" s="115"/>
      <c r="F6" s="134"/>
      <c r="G6" s="58" t="s">
        <v>9</v>
      </c>
      <c r="H6" s="176" t="str">
        <f>+'MODULO 2 '!H5</f>
        <v>25 horas
(20 horas sincrónicas y 5 horas asincrónicas)</v>
      </c>
      <c r="I6" s="92"/>
    </row>
    <row r="7" spans="1:9" ht="28.5" customHeight="1" x14ac:dyDescent="0.2">
      <c r="A7" s="15" t="s">
        <v>18</v>
      </c>
      <c r="B7" s="165" t="s">
        <v>20</v>
      </c>
      <c r="C7" s="91"/>
      <c r="D7" s="91"/>
      <c r="E7" s="91"/>
      <c r="F7" s="91"/>
      <c r="G7" s="91"/>
      <c r="H7" s="91"/>
      <c r="I7" s="92"/>
    </row>
    <row r="8" spans="1:9" ht="45" customHeight="1" x14ac:dyDescent="0.2">
      <c r="A8" s="15" t="s">
        <v>23</v>
      </c>
      <c r="B8" s="165" t="str">
        <f>+'MODULO 2 '!B11:H11</f>
        <v>Gestionar datos masivos mediante herramientas de programación y procesamiento en contextos analíticos institucionales, para optimizar la calidad y disponibilidad de información económica.</v>
      </c>
      <c r="C8" s="91"/>
      <c r="D8" s="91"/>
      <c r="E8" s="91"/>
      <c r="F8" s="91"/>
      <c r="G8" s="91"/>
      <c r="H8" s="91"/>
      <c r="I8" s="92"/>
    </row>
    <row r="9" spans="1:9" ht="45.75" customHeight="1" x14ac:dyDescent="0.2">
      <c r="A9" s="15" t="s">
        <v>30</v>
      </c>
      <c r="B9" s="165" t="str">
        <f>+'MODULO 2 '!B12:H12</f>
        <v>U1. Aplicar fundamentos de programación mediante R y Python en escenarios analíticos para automatizar procesos de datos.
U2. Gestionar bases de datos mediante técnicas ETL en entornos institucionales para optimizar calidad de información.
U2. Limpiar y transformar datos mediante librerías analíticas en proyectos económicos para mejorar consistencia de resultados.
U3. Analizar datos estructurados y no estructurados mediante herramientas de procesamiento para generar información útil.
U4. Desarrollar flujos automatizados mediante programación aplicada en casos institucionales para optimizar análisis económico.</v>
      </c>
      <c r="C9" s="91"/>
      <c r="D9" s="91"/>
      <c r="E9" s="91"/>
      <c r="F9" s="91"/>
      <c r="G9" s="91"/>
      <c r="H9" s="91"/>
      <c r="I9" s="92"/>
    </row>
    <row r="10" spans="1:9" ht="12.75" customHeight="1" x14ac:dyDescent="0.2">
      <c r="A10" s="166" t="str">
        <f>+'MODULO 2 '!B13</f>
        <v>Unidad 1. Programación en Python y R (5 horas)</v>
      </c>
      <c r="B10" s="20" t="s">
        <v>36</v>
      </c>
      <c r="C10" s="20" t="s">
        <v>37</v>
      </c>
      <c r="D10" s="159" t="s">
        <v>41</v>
      </c>
      <c r="E10" s="91"/>
      <c r="F10" s="92"/>
      <c r="G10" s="159" t="s">
        <v>43</v>
      </c>
      <c r="H10" s="92"/>
      <c r="I10" s="20" t="s">
        <v>44</v>
      </c>
    </row>
    <row r="11" spans="1:9" ht="15" customHeight="1" x14ac:dyDescent="0.2">
      <c r="A11" s="95"/>
      <c r="B11" s="20">
        <v>1</v>
      </c>
      <c r="C11" s="21"/>
      <c r="D11" s="23" t="s">
        <v>47</v>
      </c>
      <c r="E11" s="160" t="str">
        <f>+'MODULO 2 '!D13</f>
        <v>Sintaxis básica.</v>
      </c>
      <c r="F11" s="92"/>
      <c r="G11" s="161"/>
      <c r="H11" s="92"/>
      <c r="I11" s="66"/>
    </row>
    <row r="12" spans="1:9" ht="15" customHeight="1" x14ac:dyDescent="0.2">
      <c r="A12" s="95"/>
      <c r="B12" s="20">
        <v>2</v>
      </c>
      <c r="C12" s="20"/>
      <c r="D12" s="23" t="s">
        <v>49</v>
      </c>
      <c r="E12" s="160" t="str">
        <f>+'MODULO 2 '!D14</f>
        <v>Variables y estructuras.</v>
      </c>
      <c r="F12" s="92"/>
      <c r="G12" s="161"/>
      <c r="H12" s="92"/>
      <c r="I12" s="66"/>
    </row>
    <row r="13" spans="1:9" ht="15" customHeight="1" x14ac:dyDescent="0.2">
      <c r="A13" s="95"/>
      <c r="B13" s="20">
        <v>3</v>
      </c>
      <c r="C13" s="20"/>
      <c r="D13" s="23" t="s">
        <v>52</v>
      </c>
      <c r="E13" s="160" t="str">
        <f>+'MODULO 2 '!D15</f>
        <v>Funciones.</v>
      </c>
      <c r="F13" s="92"/>
      <c r="G13" s="161"/>
      <c r="H13" s="92"/>
      <c r="I13" s="66"/>
    </row>
    <row r="14" spans="1:9" ht="15" customHeight="1" x14ac:dyDescent="0.2">
      <c r="A14" s="95"/>
      <c r="B14" s="20"/>
      <c r="C14" s="20"/>
      <c r="D14" s="23" t="s">
        <v>55</v>
      </c>
      <c r="E14" s="160" t="str">
        <f>+'MODULO 2 '!D16</f>
        <v>Librerías analíticas.</v>
      </c>
      <c r="F14" s="92"/>
      <c r="G14" s="161"/>
      <c r="H14" s="92"/>
      <c r="I14" s="66"/>
    </row>
    <row r="15" spans="1:9" ht="15" customHeight="1" x14ac:dyDescent="0.2">
      <c r="A15" s="96"/>
      <c r="B15" s="20"/>
      <c r="C15" s="20"/>
      <c r="D15" s="23" t="s">
        <v>57</v>
      </c>
      <c r="E15" s="160" t="str">
        <f>+'MODULO 2 '!D17</f>
        <v>Automatización básica.</v>
      </c>
      <c r="F15" s="92"/>
      <c r="G15" s="161"/>
      <c r="H15" s="92"/>
      <c r="I15" s="66"/>
    </row>
    <row r="16" spans="1:9" ht="15" customHeight="1" x14ac:dyDescent="0.2">
      <c r="A16" s="166" t="str">
        <f>+'MODULO 2 '!B18</f>
        <v>Unidad 2. Manipulación de Datos (5 horas)</v>
      </c>
      <c r="B16" s="20"/>
      <c r="C16" s="20"/>
      <c r="D16" s="23" t="s">
        <v>61</v>
      </c>
      <c r="E16" s="160" t="str">
        <f>+'MODULO 2 '!D18</f>
        <v>DataFrames.</v>
      </c>
      <c r="F16" s="92"/>
      <c r="G16" s="161"/>
      <c r="H16" s="92"/>
      <c r="I16" s="66"/>
    </row>
    <row r="17" spans="1:9" ht="15" customHeight="1" x14ac:dyDescent="0.2">
      <c r="A17" s="95"/>
      <c r="B17" s="20"/>
      <c r="C17" s="20"/>
      <c r="D17" s="23" t="s">
        <v>64</v>
      </c>
      <c r="E17" s="160" t="str">
        <f>+'MODULO 2 '!D19</f>
        <v>Limpieza de datos.</v>
      </c>
      <c r="F17" s="92"/>
      <c r="G17" s="161"/>
      <c r="H17" s="92"/>
      <c r="I17" s="66"/>
    </row>
    <row r="18" spans="1:9" ht="15" customHeight="1" x14ac:dyDescent="0.2">
      <c r="A18" s="95"/>
      <c r="B18" s="20"/>
      <c r="C18" s="20"/>
      <c r="D18" s="23" t="s">
        <v>66</v>
      </c>
      <c r="E18" s="160" t="str">
        <f>+'MODULO 2 '!D20</f>
        <v>Transformación de variables.</v>
      </c>
      <c r="F18" s="92"/>
      <c r="G18" s="161"/>
      <c r="H18" s="92"/>
      <c r="I18" s="66"/>
    </row>
    <row r="19" spans="1:9" ht="15" customHeight="1" x14ac:dyDescent="0.2">
      <c r="A19" s="95"/>
      <c r="B19" s="20"/>
      <c r="C19" s="20"/>
      <c r="D19" s="23" t="s">
        <v>69</v>
      </c>
      <c r="E19" s="160" t="str">
        <f>+'MODULO 2 '!D21</f>
        <v>Validación de datos.</v>
      </c>
      <c r="F19" s="92"/>
      <c r="G19" s="161"/>
      <c r="H19" s="92"/>
      <c r="I19" s="66"/>
    </row>
    <row r="20" spans="1:9" ht="15" customHeight="1" x14ac:dyDescent="0.2">
      <c r="A20" s="96"/>
      <c r="B20" s="20"/>
      <c r="C20" s="20"/>
      <c r="D20" s="23" t="s">
        <v>72</v>
      </c>
      <c r="E20" s="160" t="str">
        <f>+'MODULO 2 '!D22</f>
        <v>Integración de fuentes.</v>
      </c>
      <c r="F20" s="92"/>
      <c r="G20" s="161"/>
      <c r="H20" s="92"/>
      <c r="I20" s="66"/>
    </row>
    <row r="21" spans="1:9" ht="15" customHeight="1" x14ac:dyDescent="0.2">
      <c r="A21" s="166" t="str">
        <f>+'MODULO 2 '!B23</f>
        <v>Unidad 3. Bases de Datos y ETL (5 horas)</v>
      </c>
      <c r="B21" s="20"/>
      <c r="C21" s="20"/>
      <c r="D21" s="23" t="s">
        <v>76</v>
      </c>
      <c r="E21" s="160" t="str">
        <f>+'MODULO 2 '!D23</f>
        <v>SQL básico.</v>
      </c>
      <c r="F21" s="92"/>
      <c r="G21" s="161"/>
      <c r="H21" s="92"/>
      <c r="I21" s="66"/>
    </row>
    <row r="22" spans="1:9" ht="15" customHeight="1" x14ac:dyDescent="0.2">
      <c r="A22" s="95"/>
      <c r="B22" s="20"/>
      <c r="C22" s="20"/>
      <c r="D22" s="23" t="s">
        <v>78</v>
      </c>
      <c r="E22" s="160" t="str">
        <f>+'MODULO 2 '!D24</f>
        <v>Procesos ETL.</v>
      </c>
      <c r="F22" s="92"/>
      <c r="G22" s="161"/>
      <c r="H22" s="92"/>
      <c r="I22" s="66"/>
    </row>
    <row r="23" spans="1:9" ht="15" customHeight="1" x14ac:dyDescent="0.2">
      <c r="A23" s="95"/>
      <c r="B23" s="20"/>
      <c r="C23" s="20"/>
      <c r="D23" s="23" t="s">
        <v>81</v>
      </c>
      <c r="E23" s="160" t="str">
        <f>+'MODULO 2 '!D25</f>
        <v>Bases relacionales.</v>
      </c>
      <c r="F23" s="92"/>
      <c r="G23" s="161"/>
      <c r="H23" s="92"/>
      <c r="I23" s="66"/>
    </row>
    <row r="24" spans="1:9" ht="15" customHeight="1" x14ac:dyDescent="0.2">
      <c r="A24" s="95"/>
      <c r="B24" s="20"/>
      <c r="C24" s="20"/>
      <c r="D24" s="23" t="s">
        <v>85</v>
      </c>
      <c r="E24" s="160" t="str">
        <f>+'MODULO 2 '!D26</f>
        <v>Bases NoSQL.</v>
      </c>
      <c r="F24" s="92"/>
      <c r="G24" s="161"/>
      <c r="H24" s="92"/>
      <c r="I24" s="66"/>
    </row>
    <row r="25" spans="1:9" ht="15" customHeight="1" x14ac:dyDescent="0.2">
      <c r="A25" s="96"/>
      <c r="B25" s="20"/>
      <c r="C25" s="20"/>
      <c r="D25" s="23" t="s">
        <v>87</v>
      </c>
      <c r="E25" s="160" t="str">
        <f>+'MODULO 2 '!D27</f>
        <v>Integración de datos.</v>
      </c>
      <c r="F25" s="92"/>
      <c r="G25" s="161"/>
      <c r="H25" s="92"/>
      <c r="I25" s="66"/>
    </row>
    <row r="26" spans="1:9" ht="12.75" customHeight="1" x14ac:dyDescent="0.2">
      <c r="A26" s="166" t="str">
        <f>+'MODULO 2 '!B28</f>
        <v>Unidad 4. Big Data Analytics (5 horas)</v>
      </c>
      <c r="B26" s="20"/>
      <c r="C26" s="20"/>
      <c r="D26" s="23" t="s">
        <v>92</v>
      </c>
      <c r="E26" s="160" t="str">
        <f>+'MODULO 2 '!D28</f>
        <v>Procesamiento masivo.</v>
      </c>
      <c r="F26" s="92"/>
      <c r="G26" s="161"/>
      <c r="H26" s="92"/>
      <c r="I26" s="66"/>
    </row>
    <row r="27" spans="1:9" ht="12.75" customHeight="1" x14ac:dyDescent="0.2">
      <c r="A27" s="95"/>
      <c r="B27" s="20"/>
      <c r="C27" s="20"/>
      <c r="D27" s="23" t="s">
        <v>95</v>
      </c>
      <c r="E27" s="160" t="str">
        <f>+'MODULO 2 '!D29</f>
        <v>Datos estructurados.</v>
      </c>
      <c r="F27" s="92"/>
      <c r="G27" s="161"/>
      <c r="H27" s="92"/>
      <c r="I27" s="66"/>
    </row>
    <row r="28" spans="1:9" ht="12.75" customHeight="1" x14ac:dyDescent="0.2">
      <c r="A28" s="95"/>
      <c r="B28" s="20"/>
      <c r="C28" s="20"/>
      <c r="D28" s="23" t="s">
        <v>98</v>
      </c>
      <c r="E28" s="160" t="str">
        <f>+'MODULO 2 '!D30</f>
        <v>Datos no estructurados.</v>
      </c>
      <c r="F28" s="92"/>
      <c r="G28" s="161"/>
      <c r="H28" s="92"/>
      <c r="I28" s="66"/>
    </row>
    <row r="29" spans="1:9" ht="12.75" customHeight="1" x14ac:dyDescent="0.2">
      <c r="A29" s="95"/>
      <c r="B29" s="20"/>
      <c r="C29" s="20"/>
      <c r="D29" s="23" t="s">
        <v>101</v>
      </c>
      <c r="E29" s="160" t="str">
        <f>+'MODULO 2 '!D31</f>
        <v>Introducción a Spark.</v>
      </c>
      <c r="F29" s="92"/>
      <c r="G29" s="161"/>
      <c r="H29" s="92"/>
      <c r="I29" s="66"/>
    </row>
    <row r="30" spans="1:9" ht="12.75" customHeight="1" x14ac:dyDescent="0.2">
      <c r="A30" s="96"/>
      <c r="B30" s="20"/>
      <c r="C30" s="20"/>
      <c r="D30" s="23" t="s">
        <v>104</v>
      </c>
      <c r="E30" s="160" t="str">
        <f>+'MODULO 2 '!D32</f>
        <v>Analítica distribuida.</v>
      </c>
      <c r="F30" s="92"/>
      <c r="G30" s="161"/>
      <c r="H30" s="92"/>
      <c r="I30" s="66"/>
    </row>
    <row r="31" spans="1:9" ht="12.75" customHeight="1" x14ac:dyDescent="0.2">
      <c r="A31" s="166" t="str">
        <f>+'MODULO 2 '!B33</f>
        <v>Unidad 5. Taller de Programación (5 horas)</v>
      </c>
      <c r="B31" s="20"/>
      <c r="C31" s="20"/>
      <c r="D31" s="23" t="s">
        <v>108</v>
      </c>
      <c r="E31" s="160" t="str">
        <f>+'MODULO 2 '!D33</f>
        <v>Automatización de procesos.</v>
      </c>
      <c r="F31" s="92"/>
      <c r="G31" s="161"/>
      <c r="H31" s="92"/>
      <c r="I31" s="66"/>
    </row>
    <row r="32" spans="1:9" ht="12.75" customHeight="1" x14ac:dyDescent="0.2">
      <c r="A32" s="95"/>
      <c r="B32" s="20"/>
      <c r="C32" s="20"/>
      <c r="D32" s="23" t="s">
        <v>111</v>
      </c>
      <c r="E32" s="160" t="str">
        <f>+'MODULO 2 '!D34</f>
        <v>Scripts analíticos.</v>
      </c>
      <c r="F32" s="92"/>
      <c r="G32" s="161"/>
      <c r="H32" s="92"/>
      <c r="I32" s="66"/>
    </row>
    <row r="33" spans="1:9" ht="12.75" customHeight="1" x14ac:dyDescent="0.2">
      <c r="A33" s="95"/>
      <c r="B33" s="20"/>
      <c r="C33" s="20"/>
      <c r="D33" s="23" t="s">
        <v>113</v>
      </c>
      <c r="E33" s="160" t="str">
        <f>+'MODULO 2 '!D35</f>
        <v>Limpieza masiva.</v>
      </c>
      <c r="F33" s="92"/>
      <c r="G33" s="161"/>
      <c r="H33" s="92"/>
      <c r="I33" s="66"/>
    </row>
    <row r="34" spans="1:9" ht="12.75" customHeight="1" x14ac:dyDescent="0.2">
      <c r="A34" s="95"/>
      <c r="B34" s="20"/>
      <c r="C34" s="20"/>
      <c r="D34" s="23" t="s">
        <v>116</v>
      </c>
      <c r="E34" s="160" t="str">
        <f>+'MODULO 2 '!D36</f>
        <v>Integración de datasets.</v>
      </c>
      <c r="F34" s="92"/>
      <c r="G34" s="161"/>
      <c r="H34" s="92"/>
      <c r="I34" s="66"/>
    </row>
    <row r="35" spans="1:9" ht="12.75" customHeight="1" x14ac:dyDescent="0.2">
      <c r="A35" s="96"/>
      <c r="B35" s="20"/>
      <c r="C35" s="20"/>
      <c r="D35" s="23" t="s">
        <v>119</v>
      </c>
      <c r="E35" s="160" t="str">
        <f>+'MODULO 2 '!D37</f>
        <v>Presentación de resultados.</v>
      </c>
      <c r="F35" s="92"/>
      <c r="G35" s="161"/>
      <c r="H35" s="92"/>
      <c r="I35" s="66"/>
    </row>
    <row r="36" spans="1:9" ht="38.25" customHeight="1" x14ac:dyDescent="0.2">
      <c r="A36" s="36" t="s">
        <v>140</v>
      </c>
      <c r="B36" s="170" t="str">
        <f>+'MODULO 2 '!B42:H42</f>
        <v>Wickham, H. (2023). R for Data Science. O'Reilly Media. https://r4ds.hadley.nz
McKinney, W. (2022). Python for Data Analysis. O'Reilly Media. https://wesmckinney.com/book/
Zaharia, M. (2021). Learning Spark. O'Reilly Media. https://www.oreilly.com</v>
      </c>
      <c r="C36" s="91"/>
      <c r="D36" s="91"/>
      <c r="E36" s="91"/>
      <c r="F36" s="91"/>
      <c r="G36" s="91"/>
      <c r="H36" s="91"/>
      <c r="I36" s="92"/>
    </row>
    <row r="37" spans="1:9" ht="12.75" customHeight="1" x14ac:dyDescent="0.2">
      <c r="A37" s="175" t="s">
        <v>167</v>
      </c>
      <c r="B37" s="168" t="s">
        <v>44</v>
      </c>
      <c r="C37" s="91"/>
      <c r="D37" s="92"/>
      <c r="E37" s="168" t="s">
        <v>171</v>
      </c>
      <c r="F37" s="92"/>
      <c r="G37" s="39" t="s">
        <v>172</v>
      </c>
      <c r="H37" s="39" t="s">
        <v>176</v>
      </c>
      <c r="I37" s="39" t="s">
        <v>177</v>
      </c>
    </row>
    <row r="38" spans="1:9" ht="12.75" customHeight="1" x14ac:dyDescent="0.2">
      <c r="A38" s="95"/>
      <c r="B38" s="169"/>
      <c r="C38" s="91"/>
      <c r="D38" s="92"/>
      <c r="E38" s="169"/>
      <c r="F38" s="92"/>
      <c r="G38" s="42"/>
      <c r="H38" s="42"/>
      <c r="I38" s="47">
        <f t="shared" ref="I38:I42" si="0">+G38*H38</f>
        <v>0</v>
      </c>
    </row>
    <row r="39" spans="1:9" ht="12.75" customHeight="1" x14ac:dyDescent="0.2">
      <c r="A39" s="95"/>
      <c r="B39" s="169"/>
      <c r="C39" s="91"/>
      <c r="D39" s="92"/>
      <c r="E39" s="169"/>
      <c r="F39" s="92"/>
      <c r="G39" s="42"/>
      <c r="H39" s="42"/>
      <c r="I39" s="47">
        <f t="shared" si="0"/>
        <v>0</v>
      </c>
    </row>
    <row r="40" spans="1:9" ht="12.75" customHeight="1" x14ac:dyDescent="0.2">
      <c r="A40" s="95"/>
      <c r="B40" s="169"/>
      <c r="C40" s="91"/>
      <c r="D40" s="92"/>
      <c r="E40" s="169"/>
      <c r="F40" s="92"/>
      <c r="G40" s="42"/>
      <c r="H40" s="42"/>
      <c r="I40" s="47">
        <f t="shared" si="0"/>
        <v>0</v>
      </c>
    </row>
    <row r="41" spans="1:9" ht="12.75" customHeight="1" x14ac:dyDescent="0.2">
      <c r="A41" s="95"/>
      <c r="B41" s="169"/>
      <c r="C41" s="91"/>
      <c r="D41" s="92"/>
      <c r="E41" s="169"/>
      <c r="F41" s="92"/>
      <c r="G41" s="42"/>
      <c r="H41" s="42"/>
      <c r="I41" s="47">
        <f t="shared" si="0"/>
        <v>0</v>
      </c>
    </row>
    <row r="42" spans="1:9" ht="12.75" customHeight="1" x14ac:dyDescent="0.2">
      <c r="A42" s="95"/>
      <c r="B42" s="169"/>
      <c r="C42" s="91"/>
      <c r="D42" s="92"/>
      <c r="E42" s="169"/>
      <c r="F42" s="92"/>
      <c r="G42" s="42"/>
      <c r="H42" s="42"/>
      <c r="I42" s="47">
        <f t="shared" si="0"/>
        <v>0</v>
      </c>
    </row>
    <row r="43" spans="1:9" ht="12.75" customHeight="1" x14ac:dyDescent="0.2">
      <c r="A43" s="97"/>
      <c r="B43" s="171" t="s">
        <v>181</v>
      </c>
      <c r="C43" s="91"/>
      <c r="D43" s="91"/>
      <c r="E43" s="91"/>
      <c r="F43" s="91"/>
      <c r="G43" s="91"/>
      <c r="H43" s="92"/>
      <c r="I43" s="47">
        <f>SUM(I38:I42)</f>
        <v>0</v>
      </c>
    </row>
    <row r="44" spans="1:9" ht="12.75" customHeight="1" x14ac:dyDescent="0.2">
      <c r="A44" s="172" t="s">
        <v>182</v>
      </c>
      <c r="B44" s="173"/>
      <c r="C44" s="111"/>
      <c r="D44" s="111"/>
      <c r="E44" s="133"/>
      <c r="F44" s="50" t="s">
        <v>183</v>
      </c>
      <c r="G44" s="172" t="s">
        <v>161</v>
      </c>
      <c r="H44" s="174"/>
      <c r="I44" s="133"/>
    </row>
    <row r="45" spans="1:9" ht="12.75" customHeight="1" x14ac:dyDescent="0.2">
      <c r="A45" s="97"/>
      <c r="B45" s="114"/>
      <c r="C45" s="115"/>
      <c r="D45" s="115"/>
      <c r="E45" s="134"/>
      <c r="F45" s="52"/>
      <c r="G45" s="97"/>
      <c r="H45" s="114"/>
      <c r="I45" s="134"/>
    </row>
    <row r="46" spans="1:9" ht="12.75" customHeight="1" x14ac:dyDescent="0.2">
      <c r="A46" s="68"/>
      <c r="B46" s="68"/>
      <c r="C46" s="68"/>
      <c r="D46" s="68"/>
      <c r="E46" s="68"/>
      <c r="F46" s="68"/>
      <c r="G46" s="68"/>
      <c r="H46" s="68"/>
      <c r="I46" s="68"/>
    </row>
    <row r="47" spans="1:9" ht="12.75" customHeight="1" x14ac:dyDescent="0.2"/>
    <row r="48" spans="1:9"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89">
    <mergeCell ref="G16:H16"/>
    <mergeCell ref="G17:H17"/>
    <mergeCell ref="A21:A25"/>
    <mergeCell ref="A26:A30"/>
    <mergeCell ref="E26:F26"/>
    <mergeCell ref="G26:H26"/>
    <mergeCell ref="E27:F27"/>
    <mergeCell ref="G27:H27"/>
    <mergeCell ref="E28:F28"/>
    <mergeCell ref="G28:H28"/>
    <mergeCell ref="E30:F30"/>
    <mergeCell ref="A31:A35"/>
    <mergeCell ref="E31:F31"/>
    <mergeCell ref="E32:F32"/>
    <mergeCell ref="E33:F33"/>
    <mergeCell ref="E34:F34"/>
    <mergeCell ref="E35:F35"/>
    <mergeCell ref="B42:D42"/>
    <mergeCell ref="E42:F42"/>
    <mergeCell ref="B43:H43"/>
    <mergeCell ref="A44:A45"/>
    <mergeCell ref="B44:E45"/>
    <mergeCell ref="G44:G45"/>
    <mergeCell ref="H44:I45"/>
    <mergeCell ref="A37:A43"/>
    <mergeCell ref="B37:D37"/>
    <mergeCell ref="B39:D39"/>
    <mergeCell ref="E39:F39"/>
    <mergeCell ref="B40:D40"/>
    <mergeCell ref="E40:F40"/>
    <mergeCell ref="B41:D41"/>
    <mergeCell ref="E41:F41"/>
    <mergeCell ref="G34:H34"/>
    <mergeCell ref="G35:H35"/>
    <mergeCell ref="E37:F37"/>
    <mergeCell ref="B38:D38"/>
    <mergeCell ref="E38:F38"/>
    <mergeCell ref="B36:I36"/>
    <mergeCell ref="G30:H30"/>
    <mergeCell ref="G31:H31"/>
    <mergeCell ref="G32:H32"/>
    <mergeCell ref="G33:H33"/>
    <mergeCell ref="E23:F23"/>
    <mergeCell ref="G23:H23"/>
    <mergeCell ref="E24:F24"/>
    <mergeCell ref="G24:H24"/>
    <mergeCell ref="E25:F25"/>
    <mergeCell ref="G25:H25"/>
    <mergeCell ref="E29:F29"/>
    <mergeCell ref="G29:H29"/>
    <mergeCell ref="E20:F20"/>
    <mergeCell ref="G20:H20"/>
    <mergeCell ref="G21:H21"/>
    <mergeCell ref="E22:F22"/>
    <mergeCell ref="G22:H22"/>
    <mergeCell ref="E21:F21"/>
    <mergeCell ref="A10:A15"/>
    <mergeCell ref="E18:F18"/>
    <mergeCell ref="G18:H18"/>
    <mergeCell ref="E19:F19"/>
    <mergeCell ref="G19:H19"/>
    <mergeCell ref="E17:F17"/>
    <mergeCell ref="E16:F16"/>
    <mergeCell ref="E12:F12"/>
    <mergeCell ref="G12:H12"/>
    <mergeCell ref="E13:F13"/>
    <mergeCell ref="G13:H13"/>
    <mergeCell ref="E14:F14"/>
    <mergeCell ref="G14:H14"/>
    <mergeCell ref="E15:F15"/>
    <mergeCell ref="G15:H15"/>
    <mergeCell ref="A16:A20"/>
    <mergeCell ref="B4:I4"/>
    <mergeCell ref="H5:I5"/>
    <mergeCell ref="D10:F10"/>
    <mergeCell ref="G10:H10"/>
    <mergeCell ref="E11:F11"/>
    <mergeCell ref="G11:H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0400-000000000000}">
          <x14:formula1>
            <xm:f>'LISTAS-OCULTAR'!$A$1:$A$4</xm:f>
          </x14:formula1>
          <xm:sqref>I11:I12 I14:I35</xm:sqref>
        </x14:dataValidation>
        <x14:dataValidation type="list" allowBlank="1" showErrorMessage="1" xr:uid="{00000000-0002-0000-0400-000001000000}">
          <x14:formula1>
            <xm:f>'LISTAS-OCULTAR'!$A$1:$A$3</xm:f>
          </x14:formula1>
          <xm:sqref>B38:B42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topLeftCell="A13" workbookViewId="0">
      <selection activeCell="B11" sqref="B11:H11"/>
    </sheetView>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22.5" customHeight="1" x14ac:dyDescent="0.25">
      <c r="A4" s="4" t="s">
        <v>7</v>
      </c>
      <c r="B4" s="139" t="str">
        <f>+'RESUMEN DIPLOMADO'!D3</f>
        <v>DIPLOMADO EN BIG DATA E INTELIGENCIA ARTIFICIAL</v>
      </c>
      <c r="C4" s="91"/>
      <c r="D4" s="91"/>
      <c r="E4" s="91"/>
      <c r="F4" s="92"/>
      <c r="G4" s="7" t="s">
        <v>9</v>
      </c>
      <c r="H4" s="10" t="str">
        <f>+'RESUMEN DIPLOMADO'!M3</f>
        <v>150 horas
120 horas sincrónicas y
30 horas asincrónicas</v>
      </c>
      <c r="I4" s="11"/>
      <c r="J4" s="11"/>
      <c r="K4" s="11"/>
      <c r="L4" s="11"/>
      <c r="M4" s="11"/>
      <c r="N4" s="11"/>
      <c r="O4" s="11"/>
      <c r="P4" s="11"/>
      <c r="Q4" s="11"/>
      <c r="R4" s="11"/>
      <c r="S4" s="11"/>
      <c r="T4" s="11"/>
      <c r="U4" s="11"/>
      <c r="V4" s="11"/>
      <c r="W4" s="11"/>
      <c r="X4" s="11"/>
      <c r="Y4" s="11"/>
      <c r="Z4" s="11"/>
    </row>
    <row r="5" spans="1:26" ht="22.5" customHeight="1" x14ac:dyDescent="0.25">
      <c r="A5" s="12" t="s">
        <v>12</v>
      </c>
      <c r="B5" s="177" t="s">
        <v>192</v>
      </c>
      <c r="C5" s="91"/>
      <c r="D5" s="91"/>
      <c r="E5" s="91"/>
      <c r="F5" s="92"/>
      <c r="G5" s="14" t="s">
        <v>9</v>
      </c>
      <c r="H5" s="16" t="s">
        <v>19</v>
      </c>
      <c r="I5" s="11"/>
      <c r="J5" s="11"/>
      <c r="K5" s="11"/>
      <c r="L5" s="11"/>
      <c r="M5" s="11"/>
      <c r="N5" s="11"/>
      <c r="O5" s="11"/>
      <c r="P5" s="11"/>
      <c r="Q5" s="11"/>
      <c r="R5" s="11"/>
      <c r="S5" s="11"/>
      <c r="T5" s="11"/>
      <c r="U5" s="11"/>
      <c r="V5" s="11"/>
      <c r="W5" s="11"/>
      <c r="X5" s="11"/>
      <c r="Y5" s="11"/>
      <c r="Z5" s="11"/>
    </row>
    <row r="6" spans="1:26" ht="87.75" customHeight="1" x14ac:dyDescent="0.2">
      <c r="A6" s="17" t="s">
        <v>34</v>
      </c>
      <c r="B6" s="140" t="s">
        <v>193</v>
      </c>
      <c r="C6" s="91"/>
      <c r="D6" s="91"/>
      <c r="E6" s="91"/>
      <c r="F6" s="91"/>
      <c r="G6" s="91"/>
      <c r="H6" s="92"/>
      <c r="I6" s="18"/>
      <c r="J6" s="18"/>
      <c r="K6" s="18"/>
      <c r="L6" s="18"/>
      <c r="M6" s="18"/>
      <c r="N6" s="18"/>
      <c r="O6" s="18"/>
      <c r="P6" s="18"/>
      <c r="Q6" s="18"/>
      <c r="R6" s="18"/>
      <c r="S6" s="18"/>
      <c r="T6" s="18"/>
      <c r="U6" s="18"/>
      <c r="V6" s="18"/>
      <c r="W6" s="18"/>
      <c r="X6" s="18"/>
      <c r="Y6" s="18"/>
      <c r="Z6" s="18"/>
    </row>
    <row r="7" spans="1:26" ht="27" customHeight="1" x14ac:dyDescent="0.2">
      <c r="A7" s="17" t="s">
        <v>13</v>
      </c>
      <c r="B7" s="140" t="s">
        <v>194</v>
      </c>
      <c r="C7" s="91"/>
      <c r="D7" s="91"/>
      <c r="E7" s="91"/>
      <c r="F7" s="91"/>
      <c r="G7" s="91"/>
      <c r="H7" s="92"/>
      <c r="I7" s="18"/>
      <c r="J7" s="18"/>
      <c r="K7" s="18"/>
      <c r="L7" s="18"/>
      <c r="M7" s="18"/>
      <c r="N7" s="18"/>
      <c r="O7" s="18"/>
      <c r="P7" s="18"/>
      <c r="Q7" s="18"/>
      <c r="R7" s="18"/>
      <c r="S7" s="18"/>
      <c r="T7" s="18"/>
      <c r="U7" s="18"/>
      <c r="V7" s="18"/>
      <c r="W7" s="18"/>
      <c r="X7" s="18"/>
      <c r="Y7" s="18"/>
      <c r="Z7" s="18"/>
    </row>
    <row r="8" spans="1:26" ht="30" customHeight="1" x14ac:dyDescent="0.2">
      <c r="A8" s="17" t="s">
        <v>31</v>
      </c>
      <c r="B8" s="140" t="s">
        <v>195</v>
      </c>
      <c r="C8" s="91"/>
      <c r="D8" s="91"/>
      <c r="E8" s="91"/>
      <c r="F8" s="91"/>
      <c r="G8" s="91"/>
      <c r="H8" s="92"/>
      <c r="I8" s="18"/>
      <c r="J8" s="18"/>
      <c r="K8" s="18"/>
      <c r="L8" s="18"/>
      <c r="M8" s="18"/>
      <c r="N8" s="18"/>
      <c r="O8" s="18"/>
      <c r="P8" s="18"/>
      <c r="Q8" s="18"/>
      <c r="R8" s="18"/>
      <c r="S8" s="18"/>
      <c r="T8" s="18"/>
      <c r="U8" s="18"/>
      <c r="V8" s="18"/>
      <c r="W8" s="18"/>
      <c r="X8" s="18"/>
      <c r="Y8" s="18"/>
      <c r="Z8" s="18"/>
    </row>
    <row r="9" spans="1:26" ht="30" customHeight="1" x14ac:dyDescent="0.2">
      <c r="A9" s="17" t="s">
        <v>22</v>
      </c>
      <c r="B9" s="140" t="s">
        <v>196</v>
      </c>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20</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t="s">
        <v>197</v>
      </c>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81" customHeight="1" x14ac:dyDescent="0.2">
      <c r="A12" s="17" t="s">
        <v>30</v>
      </c>
      <c r="B12" s="140" t="s">
        <v>198</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2.5" customHeight="1" x14ac:dyDescent="0.2">
      <c r="A13" s="130" t="s">
        <v>41</v>
      </c>
      <c r="B13" s="131" t="s">
        <v>199</v>
      </c>
      <c r="C13" s="22" t="s">
        <v>47</v>
      </c>
      <c r="D13" s="141" t="s">
        <v>200</v>
      </c>
      <c r="E13" s="91"/>
      <c r="F13" s="91"/>
      <c r="G13" s="91"/>
      <c r="H13" s="92"/>
      <c r="I13" s="18"/>
      <c r="J13" s="18"/>
      <c r="K13" s="18"/>
      <c r="L13" s="18"/>
      <c r="M13" s="18"/>
      <c r="N13" s="18"/>
      <c r="O13" s="18"/>
      <c r="P13" s="18"/>
      <c r="Q13" s="18"/>
      <c r="R13" s="18"/>
      <c r="S13" s="18"/>
      <c r="T13" s="18"/>
      <c r="U13" s="18"/>
      <c r="V13" s="18"/>
      <c r="W13" s="18"/>
      <c r="X13" s="18"/>
      <c r="Y13" s="18"/>
      <c r="Z13" s="18"/>
    </row>
    <row r="14" spans="1:26" ht="22.5" customHeight="1" x14ac:dyDescent="0.2">
      <c r="A14" s="95"/>
      <c r="B14" s="95"/>
      <c r="C14" s="22" t="s">
        <v>49</v>
      </c>
      <c r="D14" s="141" t="s">
        <v>201</v>
      </c>
      <c r="E14" s="91"/>
      <c r="F14" s="91"/>
      <c r="G14" s="91"/>
      <c r="H14" s="92"/>
      <c r="I14" s="18"/>
      <c r="J14" s="18"/>
      <c r="K14" s="18"/>
      <c r="L14" s="18"/>
      <c r="M14" s="18"/>
      <c r="N14" s="18"/>
      <c r="O14" s="18"/>
      <c r="P14" s="18"/>
      <c r="Q14" s="18"/>
      <c r="R14" s="18"/>
      <c r="S14" s="18"/>
      <c r="T14" s="18"/>
      <c r="U14" s="18"/>
      <c r="V14" s="18"/>
      <c r="W14" s="18"/>
      <c r="X14" s="18"/>
      <c r="Y14" s="18"/>
      <c r="Z14" s="18"/>
    </row>
    <row r="15" spans="1:26" ht="22.5" customHeight="1" x14ac:dyDescent="0.2">
      <c r="A15" s="95"/>
      <c r="B15" s="95"/>
      <c r="C15" s="22" t="s">
        <v>52</v>
      </c>
      <c r="D15" s="142" t="s">
        <v>202</v>
      </c>
      <c r="E15" s="91"/>
      <c r="F15" s="91"/>
      <c r="G15" s="91"/>
      <c r="H15" s="92"/>
      <c r="I15" s="18"/>
      <c r="J15" s="18"/>
      <c r="K15" s="18"/>
      <c r="L15" s="18"/>
      <c r="M15" s="18"/>
      <c r="N15" s="18"/>
      <c r="O15" s="18"/>
      <c r="P15" s="18"/>
      <c r="Q15" s="18"/>
      <c r="R15" s="18"/>
      <c r="S15" s="18"/>
      <c r="T15" s="18"/>
      <c r="U15" s="18"/>
      <c r="V15" s="18"/>
      <c r="W15" s="18"/>
      <c r="X15" s="18"/>
      <c r="Y15" s="18"/>
      <c r="Z15" s="18"/>
    </row>
    <row r="16" spans="1:26" ht="22.5" customHeight="1" x14ac:dyDescent="0.2">
      <c r="A16" s="95"/>
      <c r="B16" s="95"/>
      <c r="C16" s="22" t="s">
        <v>55</v>
      </c>
      <c r="D16" s="142" t="s">
        <v>203</v>
      </c>
      <c r="E16" s="91"/>
      <c r="F16" s="91"/>
      <c r="G16" s="91"/>
      <c r="H16" s="92"/>
      <c r="I16" s="18"/>
      <c r="J16" s="18"/>
      <c r="K16" s="18"/>
      <c r="L16" s="18"/>
      <c r="M16" s="18"/>
      <c r="N16" s="18"/>
      <c r="O16" s="18"/>
      <c r="P16" s="18"/>
      <c r="Q16" s="18"/>
      <c r="R16" s="18"/>
      <c r="S16" s="18"/>
      <c r="T16" s="18"/>
      <c r="U16" s="18"/>
      <c r="V16" s="18"/>
      <c r="W16" s="18"/>
      <c r="X16" s="18"/>
      <c r="Y16" s="18"/>
      <c r="Z16" s="18"/>
    </row>
    <row r="17" spans="1:26" ht="22.5" customHeight="1" x14ac:dyDescent="0.2">
      <c r="A17" s="95"/>
      <c r="B17" s="97"/>
      <c r="C17" s="22" t="s">
        <v>57</v>
      </c>
      <c r="D17" s="142" t="s">
        <v>204</v>
      </c>
      <c r="E17" s="91"/>
      <c r="F17" s="91"/>
      <c r="G17" s="91"/>
      <c r="H17" s="92"/>
      <c r="I17" s="18"/>
      <c r="J17" s="18"/>
      <c r="K17" s="18"/>
      <c r="L17" s="18"/>
      <c r="M17" s="18"/>
      <c r="N17" s="18"/>
      <c r="O17" s="18"/>
      <c r="P17" s="18"/>
      <c r="Q17" s="18"/>
      <c r="R17" s="18"/>
      <c r="S17" s="18"/>
      <c r="T17" s="18"/>
      <c r="U17" s="18"/>
      <c r="V17" s="18"/>
      <c r="W17" s="18"/>
      <c r="X17" s="18"/>
      <c r="Y17" s="18"/>
      <c r="Z17" s="18"/>
    </row>
    <row r="18" spans="1:26" ht="22.5" customHeight="1" x14ac:dyDescent="0.2">
      <c r="A18" s="95"/>
      <c r="B18" s="131" t="s">
        <v>205</v>
      </c>
      <c r="C18" s="22" t="s">
        <v>61</v>
      </c>
      <c r="D18" s="142" t="s">
        <v>206</v>
      </c>
      <c r="E18" s="91"/>
      <c r="F18" s="91"/>
      <c r="G18" s="91"/>
      <c r="H18" s="92"/>
      <c r="I18" s="18"/>
      <c r="J18" s="18"/>
      <c r="K18" s="18"/>
      <c r="L18" s="18"/>
      <c r="M18" s="18"/>
      <c r="N18" s="18"/>
      <c r="O18" s="18"/>
      <c r="P18" s="18"/>
      <c r="Q18" s="18"/>
      <c r="R18" s="18"/>
      <c r="S18" s="18"/>
      <c r="T18" s="18"/>
      <c r="U18" s="18"/>
      <c r="V18" s="18"/>
      <c r="W18" s="18"/>
      <c r="X18" s="18"/>
      <c r="Y18" s="18"/>
      <c r="Z18" s="18"/>
    </row>
    <row r="19" spans="1:26" ht="22.5" customHeight="1" x14ac:dyDescent="0.2">
      <c r="A19" s="95"/>
      <c r="B19" s="95"/>
      <c r="C19" s="22" t="s">
        <v>64</v>
      </c>
      <c r="D19" s="142" t="s">
        <v>207</v>
      </c>
      <c r="E19" s="91"/>
      <c r="F19" s="91"/>
      <c r="G19" s="91"/>
      <c r="H19" s="92"/>
      <c r="I19" s="18"/>
      <c r="J19" s="18"/>
      <c r="K19" s="18"/>
      <c r="L19" s="18"/>
      <c r="M19" s="18"/>
      <c r="N19" s="18"/>
      <c r="O19" s="18"/>
      <c r="P19" s="18"/>
      <c r="Q19" s="18"/>
      <c r="R19" s="18"/>
      <c r="S19" s="18"/>
      <c r="T19" s="18"/>
      <c r="U19" s="18"/>
      <c r="V19" s="18"/>
      <c r="W19" s="18"/>
      <c r="X19" s="18"/>
      <c r="Y19" s="18"/>
      <c r="Z19" s="18"/>
    </row>
    <row r="20" spans="1:26" ht="22.5" customHeight="1" x14ac:dyDescent="0.2">
      <c r="A20" s="95"/>
      <c r="B20" s="95"/>
      <c r="C20" s="22" t="s">
        <v>66</v>
      </c>
      <c r="D20" s="142" t="s">
        <v>208</v>
      </c>
      <c r="E20" s="91"/>
      <c r="F20" s="91"/>
      <c r="G20" s="91"/>
      <c r="H20" s="92"/>
      <c r="I20" s="18"/>
      <c r="J20" s="18"/>
      <c r="K20" s="18"/>
      <c r="L20" s="18"/>
      <c r="M20" s="18"/>
      <c r="N20" s="18"/>
      <c r="O20" s="18"/>
      <c r="P20" s="18"/>
      <c r="Q20" s="18"/>
      <c r="R20" s="18"/>
      <c r="S20" s="18"/>
      <c r="T20" s="18"/>
      <c r="U20" s="18"/>
      <c r="V20" s="18"/>
      <c r="W20" s="18"/>
      <c r="X20" s="18"/>
      <c r="Y20" s="18"/>
      <c r="Z20" s="18"/>
    </row>
    <row r="21" spans="1:26" ht="22.5" customHeight="1" x14ac:dyDescent="0.2">
      <c r="A21" s="95"/>
      <c r="B21" s="95"/>
      <c r="C21" s="22" t="s">
        <v>69</v>
      </c>
      <c r="D21" s="142" t="s">
        <v>209</v>
      </c>
      <c r="E21" s="91"/>
      <c r="F21" s="91"/>
      <c r="G21" s="91"/>
      <c r="H21" s="92"/>
      <c r="I21" s="18"/>
      <c r="J21" s="18"/>
      <c r="K21" s="18"/>
      <c r="L21" s="18"/>
      <c r="M21" s="18"/>
      <c r="N21" s="18"/>
      <c r="O21" s="18"/>
      <c r="P21" s="18"/>
      <c r="Q21" s="18"/>
      <c r="R21" s="18"/>
      <c r="S21" s="18"/>
      <c r="T21" s="18"/>
      <c r="U21" s="18"/>
      <c r="V21" s="18"/>
      <c r="W21" s="18"/>
      <c r="X21" s="18"/>
      <c r="Y21" s="18"/>
      <c r="Z21" s="18"/>
    </row>
    <row r="22" spans="1:26" ht="22.5" customHeight="1" x14ac:dyDescent="0.2">
      <c r="A22" s="95"/>
      <c r="B22" s="97"/>
      <c r="C22" s="22" t="s">
        <v>72</v>
      </c>
      <c r="D22" s="142" t="s">
        <v>210</v>
      </c>
      <c r="E22" s="91"/>
      <c r="F22" s="91"/>
      <c r="G22" s="91"/>
      <c r="H22" s="92"/>
      <c r="I22" s="18"/>
      <c r="J22" s="18"/>
      <c r="K22" s="18"/>
      <c r="L22" s="18"/>
      <c r="M22" s="18"/>
      <c r="N22" s="18"/>
      <c r="O22" s="18"/>
      <c r="P22" s="18"/>
      <c r="Q22" s="18"/>
      <c r="R22" s="18"/>
      <c r="S22" s="18"/>
      <c r="T22" s="18"/>
      <c r="U22" s="18"/>
      <c r="V22" s="18"/>
      <c r="W22" s="18"/>
      <c r="X22" s="18"/>
      <c r="Y22" s="18"/>
      <c r="Z22" s="18"/>
    </row>
    <row r="23" spans="1:26" ht="22.5" customHeight="1" x14ac:dyDescent="0.2">
      <c r="A23" s="95"/>
      <c r="B23" s="131" t="s">
        <v>211</v>
      </c>
      <c r="C23" s="22" t="s">
        <v>76</v>
      </c>
      <c r="D23" s="142" t="s">
        <v>212</v>
      </c>
      <c r="E23" s="91"/>
      <c r="F23" s="91"/>
      <c r="G23" s="91"/>
      <c r="H23" s="92"/>
      <c r="I23" s="18"/>
      <c r="J23" s="18"/>
      <c r="K23" s="18"/>
      <c r="L23" s="18"/>
      <c r="M23" s="18"/>
      <c r="N23" s="18"/>
      <c r="O23" s="18"/>
      <c r="P23" s="18"/>
      <c r="Q23" s="18"/>
      <c r="R23" s="18"/>
      <c r="S23" s="18"/>
      <c r="T23" s="18"/>
      <c r="U23" s="18"/>
      <c r="V23" s="18"/>
      <c r="W23" s="18"/>
      <c r="X23" s="18"/>
      <c r="Y23" s="18"/>
      <c r="Z23" s="18"/>
    </row>
    <row r="24" spans="1:26" ht="22.5" customHeight="1" x14ac:dyDescent="0.2">
      <c r="A24" s="95"/>
      <c r="B24" s="95"/>
      <c r="C24" s="22" t="s">
        <v>78</v>
      </c>
      <c r="D24" s="142" t="s">
        <v>213</v>
      </c>
      <c r="E24" s="91"/>
      <c r="F24" s="91"/>
      <c r="G24" s="91"/>
      <c r="H24" s="92"/>
      <c r="I24" s="18"/>
      <c r="J24" s="18"/>
      <c r="K24" s="18"/>
      <c r="L24" s="18"/>
      <c r="M24" s="18"/>
      <c r="N24" s="18"/>
      <c r="O24" s="18"/>
      <c r="P24" s="18"/>
      <c r="Q24" s="18"/>
      <c r="R24" s="18"/>
      <c r="S24" s="18"/>
      <c r="T24" s="18"/>
      <c r="U24" s="18"/>
      <c r="V24" s="18"/>
      <c r="W24" s="18"/>
      <c r="X24" s="18"/>
      <c r="Y24" s="18"/>
      <c r="Z24" s="18"/>
    </row>
    <row r="25" spans="1:26" ht="22.5" customHeight="1" x14ac:dyDescent="0.2">
      <c r="A25" s="95"/>
      <c r="B25" s="95"/>
      <c r="C25" s="22" t="s">
        <v>81</v>
      </c>
      <c r="D25" s="142" t="s">
        <v>214</v>
      </c>
      <c r="E25" s="91"/>
      <c r="F25" s="91"/>
      <c r="G25" s="91"/>
      <c r="H25" s="92"/>
      <c r="I25" s="18"/>
      <c r="J25" s="18"/>
      <c r="K25" s="18"/>
      <c r="L25" s="18"/>
      <c r="M25" s="18"/>
      <c r="N25" s="18"/>
      <c r="O25" s="18"/>
      <c r="P25" s="18"/>
      <c r="Q25" s="18"/>
      <c r="R25" s="18"/>
      <c r="S25" s="18"/>
      <c r="T25" s="18"/>
      <c r="U25" s="18"/>
      <c r="V25" s="18"/>
      <c r="W25" s="18"/>
      <c r="X25" s="18"/>
      <c r="Y25" s="18"/>
      <c r="Z25" s="18"/>
    </row>
    <row r="26" spans="1:26" ht="22.5" customHeight="1" x14ac:dyDescent="0.2">
      <c r="A26" s="95"/>
      <c r="B26" s="95"/>
      <c r="C26" s="22" t="s">
        <v>85</v>
      </c>
      <c r="D26" s="142" t="s">
        <v>215</v>
      </c>
      <c r="E26" s="91"/>
      <c r="F26" s="91"/>
      <c r="G26" s="91"/>
      <c r="H26" s="92"/>
      <c r="I26" s="18"/>
      <c r="J26" s="18"/>
      <c r="K26" s="18"/>
      <c r="L26" s="18"/>
      <c r="M26" s="18"/>
      <c r="N26" s="18"/>
      <c r="O26" s="18"/>
      <c r="P26" s="18"/>
      <c r="Q26" s="18"/>
      <c r="R26" s="18"/>
      <c r="S26" s="18"/>
      <c r="T26" s="18"/>
      <c r="U26" s="18"/>
      <c r="V26" s="18"/>
      <c r="W26" s="18"/>
      <c r="X26" s="18"/>
      <c r="Y26" s="18"/>
      <c r="Z26" s="18"/>
    </row>
    <row r="27" spans="1:26" ht="22.5" customHeight="1" x14ac:dyDescent="0.2">
      <c r="A27" s="95"/>
      <c r="B27" s="97"/>
      <c r="C27" s="22" t="s">
        <v>87</v>
      </c>
      <c r="D27" s="142" t="s">
        <v>216</v>
      </c>
      <c r="E27" s="91"/>
      <c r="F27" s="91"/>
      <c r="G27" s="91"/>
      <c r="H27" s="92"/>
      <c r="I27" s="18"/>
      <c r="J27" s="18"/>
      <c r="K27" s="18"/>
      <c r="L27" s="18"/>
      <c r="M27" s="18"/>
      <c r="N27" s="18"/>
      <c r="O27" s="18"/>
      <c r="P27" s="18"/>
      <c r="Q27" s="18"/>
      <c r="R27" s="18"/>
      <c r="S27" s="18"/>
      <c r="T27" s="18"/>
      <c r="U27" s="18"/>
      <c r="V27" s="18"/>
      <c r="W27" s="18"/>
      <c r="X27" s="18"/>
      <c r="Y27" s="18"/>
      <c r="Z27" s="18"/>
    </row>
    <row r="28" spans="1:26" ht="22.5" customHeight="1" x14ac:dyDescent="0.2">
      <c r="A28" s="95"/>
      <c r="B28" s="131" t="s">
        <v>217</v>
      </c>
      <c r="C28" s="22" t="s">
        <v>92</v>
      </c>
      <c r="D28" s="142" t="s">
        <v>218</v>
      </c>
      <c r="E28" s="91"/>
      <c r="F28" s="91"/>
      <c r="G28" s="91"/>
      <c r="H28" s="92"/>
      <c r="I28" s="18"/>
      <c r="J28" s="18"/>
      <c r="K28" s="18"/>
      <c r="L28" s="18"/>
      <c r="M28" s="18"/>
      <c r="N28" s="18"/>
      <c r="O28" s="18"/>
      <c r="P28" s="18"/>
      <c r="Q28" s="18"/>
      <c r="R28" s="18"/>
      <c r="S28" s="18"/>
      <c r="T28" s="18"/>
      <c r="U28" s="18"/>
      <c r="V28" s="18"/>
      <c r="W28" s="18"/>
      <c r="X28" s="18"/>
      <c r="Y28" s="18"/>
      <c r="Z28" s="18"/>
    </row>
    <row r="29" spans="1:26" ht="22.5" customHeight="1" x14ac:dyDescent="0.2">
      <c r="A29" s="95"/>
      <c r="B29" s="95"/>
      <c r="C29" s="22" t="s">
        <v>95</v>
      </c>
      <c r="D29" s="142" t="s">
        <v>219</v>
      </c>
      <c r="E29" s="91"/>
      <c r="F29" s="91"/>
      <c r="G29" s="91"/>
      <c r="H29" s="92"/>
      <c r="I29" s="18"/>
      <c r="J29" s="18"/>
      <c r="K29" s="18"/>
      <c r="L29" s="18"/>
      <c r="M29" s="18"/>
      <c r="N29" s="18"/>
      <c r="O29" s="18"/>
      <c r="P29" s="18"/>
      <c r="Q29" s="18"/>
      <c r="R29" s="18"/>
      <c r="S29" s="18"/>
      <c r="T29" s="18"/>
      <c r="U29" s="18"/>
      <c r="V29" s="18"/>
      <c r="W29" s="18"/>
      <c r="X29" s="18"/>
      <c r="Y29" s="18"/>
      <c r="Z29" s="18"/>
    </row>
    <row r="30" spans="1:26" ht="22.5" customHeight="1" x14ac:dyDescent="0.2">
      <c r="A30" s="95"/>
      <c r="B30" s="95"/>
      <c r="C30" s="22" t="s">
        <v>98</v>
      </c>
      <c r="D30" s="142" t="s">
        <v>220</v>
      </c>
      <c r="E30" s="91"/>
      <c r="F30" s="91"/>
      <c r="G30" s="91"/>
      <c r="H30" s="92"/>
      <c r="I30" s="18"/>
      <c r="J30" s="18"/>
      <c r="K30" s="18"/>
      <c r="L30" s="18"/>
      <c r="M30" s="18"/>
      <c r="N30" s="18"/>
      <c r="O30" s="18"/>
      <c r="P30" s="18"/>
      <c r="Q30" s="18"/>
      <c r="R30" s="18"/>
      <c r="S30" s="18"/>
      <c r="T30" s="18"/>
      <c r="U30" s="18"/>
      <c r="V30" s="18"/>
      <c r="W30" s="18"/>
      <c r="X30" s="18"/>
      <c r="Y30" s="18"/>
      <c r="Z30" s="18"/>
    </row>
    <row r="31" spans="1:26" ht="22.5" customHeight="1" x14ac:dyDescent="0.2">
      <c r="A31" s="95"/>
      <c r="B31" s="95"/>
      <c r="C31" s="22" t="s">
        <v>101</v>
      </c>
      <c r="D31" s="142" t="s">
        <v>221</v>
      </c>
      <c r="E31" s="91"/>
      <c r="F31" s="91"/>
      <c r="G31" s="91"/>
      <c r="H31" s="92"/>
      <c r="I31" s="18"/>
      <c r="J31" s="18"/>
      <c r="K31" s="18"/>
      <c r="L31" s="18"/>
      <c r="M31" s="18"/>
      <c r="N31" s="18"/>
      <c r="O31" s="18"/>
      <c r="P31" s="18"/>
      <c r="Q31" s="18"/>
      <c r="R31" s="18"/>
      <c r="S31" s="18"/>
      <c r="T31" s="18"/>
      <c r="U31" s="18"/>
      <c r="V31" s="18"/>
      <c r="W31" s="18"/>
      <c r="X31" s="18"/>
      <c r="Y31" s="18"/>
      <c r="Z31" s="18"/>
    </row>
    <row r="32" spans="1:26" ht="22.5" customHeight="1" x14ac:dyDescent="0.2">
      <c r="A32" s="95"/>
      <c r="B32" s="97"/>
      <c r="C32" s="22" t="s">
        <v>104</v>
      </c>
      <c r="D32" s="142" t="s">
        <v>222</v>
      </c>
      <c r="E32" s="91"/>
      <c r="F32" s="91"/>
      <c r="G32" s="91"/>
      <c r="H32" s="92"/>
      <c r="I32" s="18"/>
      <c r="J32" s="18"/>
      <c r="K32" s="18"/>
      <c r="L32" s="18"/>
      <c r="M32" s="18"/>
      <c r="N32" s="18"/>
      <c r="O32" s="18"/>
      <c r="P32" s="18"/>
      <c r="Q32" s="18"/>
      <c r="R32" s="18"/>
      <c r="S32" s="18"/>
      <c r="T32" s="18"/>
      <c r="U32" s="18"/>
      <c r="V32" s="18"/>
      <c r="W32" s="18"/>
      <c r="X32" s="18"/>
      <c r="Y32" s="18"/>
      <c r="Z32" s="18"/>
    </row>
    <row r="33" spans="1:26" ht="22.5" customHeight="1" x14ac:dyDescent="0.2">
      <c r="A33" s="95"/>
      <c r="B33" s="131" t="s">
        <v>223</v>
      </c>
      <c r="C33" s="22" t="s">
        <v>108</v>
      </c>
      <c r="D33" s="142" t="s">
        <v>224</v>
      </c>
      <c r="E33" s="91"/>
      <c r="F33" s="91"/>
      <c r="G33" s="91"/>
      <c r="H33" s="92"/>
      <c r="I33" s="18"/>
      <c r="J33" s="18"/>
      <c r="K33" s="18"/>
      <c r="L33" s="18"/>
      <c r="M33" s="18"/>
      <c r="N33" s="18"/>
      <c r="O33" s="18"/>
      <c r="P33" s="18"/>
      <c r="Q33" s="18"/>
      <c r="R33" s="18"/>
      <c r="S33" s="18"/>
      <c r="T33" s="18"/>
      <c r="U33" s="18"/>
      <c r="V33" s="18"/>
      <c r="W33" s="18"/>
      <c r="X33" s="18"/>
      <c r="Y33" s="18"/>
      <c r="Z33" s="18"/>
    </row>
    <row r="34" spans="1:26" ht="22.5" customHeight="1" x14ac:dyDescent="0.2">
      <c r="A34" s="95"/>
      <c r="B34" s="95"/>
      <c r="C34" s="22" t="s">
        <v>111</v>
      </c>
      <c r="D34" s="142" t="s">
        <v>225</v>
      </c>
      <c r="E34" s="91"/>
      <c r="F34" s="91"/>
      <c r="G34" s="91"/>
      <c r="H34" s="92"/>
      <c r="I34" s="18"/>
      <c r="J34" s="18"/>
      <c r="K34" s="18"/>
      <c r="L34" s="18"/>
      <c r="M34" s="18"/>
      <c r="N34" s="18"/>
      <c r="O34" s="18"/>
      <c r="P34" s="18"/>
      <c r="Q34" s="18"/>
      <c r="R34" s="18"/>
      <c r="S34" s="18"/>
      <c r="T34" s="18"/>
      <c r="U34" s="18"/>
      <c r="V34" s="18"/>
      <c r="W34" s="18"/>
      <c r="X34" s="18"/>
      <c r="Y34" s="18"/>
      <c r="Z34" s="18"/>
    </row>
    <row r="35" spans="1:26" ht="22.5" customHeight="1" x14ac:dyDescent="0.2">
      <c r="A35" s="95"/>
      <c r="B35" s="95"/>
      <c r="C35" s="22" t="s">
        <v>113</v>
      </c>
      <c r="D35" s="142" t="s">
        <v>102</v>
      </c>
      <c r="E35" s="91"/>
      <c r="F35" s="91"/>
      <c r="G35" s="91"/>
      <c r="H35" s="92"/>
      <c r="I35" s="18"/>
      <c r="J35" s="18"/>
      <c r="K35" s="18"/>
      <c r="L35" s="18"/>
      <c r="M35" s="18"/>
      <c r="N35" s="18"/>
      <c r="O35" s="18"/>
      <c r="P35" s="18"/>
      <c r="Q35" s="18"/>
      <c r="R35" s="18"/>
      <c r="S35" s="18"/>
      <c r="T35" s="18"/>
      <c r="U35" s="18"/>
      <c r="V35" s="18"/>
      <c r="W35" s="18"/>
      <c r="X35" s="18"/>
      <c r="Y35" s="18"/>
      <c r="Z35" s="18"/>
    </row>
    <row r="36" spans="1:26" ht="22.5" customHeight="1" x14ac:dyDescent="0.2">
      <c r="A36" s="95"/>
      <c r="B36" s="95"/>
      <c r="C36" s="22" t="s">
        <v>116</v>
      </c>
      <c r="D36" s="142" t="s">
        <v>226</v>
      </c>
      <c r="E36" s="91"/>
      <c r="F36" s="91"/>
      <c r="G36" s="91"/>
      <c r="H36" s="92"/>
      <c r="I36" s="18"/>
      <c r="J36" s="18"/>
      <c r="K36" s="18"/>
      <c r="L36" s="18"/>
      <c r="M36" s="18"/>
      <c r="N36" s="18"/>
      <c r="O36" s="18"/>
      <c r="P36" s="18"/>
      <c r="Q36" s="18"/>
      <c r="R36" s="18"/>
      <c r="S36" s="18"/>
      <c r="T36" s="18"/>
      <c r="U36" s="18"/>
      <c r="V36" s="18"/>
      <c r="W36" s="18"/>
      <c r="X36" s="18"/>
      <c r="Y36" s="18"/>
      <c r="Z36" s="18"/>
    </row>
    <row r="37" spans="1:26" ht="22.5" customHeight="1" x14ac:dyDescent="0.2">
      <c r="A37" s="96"/>
      <c r="B37" s="97"/>
      <c r="C37" s="22" t="s">
        <v>119</v>
      </c>
      <c r="D37" s="142" t="s">
        <v>146</v>
      </c>
      <c r="E37" s="91"/>
      <c r="F37" s="91"/>
      <c r="G37" s="91"/>
      <c r="H37" s="92"/>
      <c r="I37" s="18"/>
      <c r="J37" s="18"/>
      <c r="K37" s="18"/>
      <c r="L37" s="18"/>
      <c r="M37" s="18"/>
      <c r="N37" s="18"/>
      <c r="O37" s="18"/>
      <c r="P37" s="18"/>
      <c r="Q37" s="18"/>
      <c r="R37" s="18"/>
      <c r="S37" s="18"/>
      <c r="T37" s="18"/>
      <c r="U37" s="18"/>
      <c r="V37" s="18"/>
      <c r="W37" s="18"/>
      <c r="X37" s="18"/>
      <c r="Y37" s="18"/>
      <c r="Z37" s="18"/>
    </row>
    <row r="38" spans="1:26" ht="58.5" customHeight="1" x14ac:dyDescent="0.2">
      <c r="A38" s="26" t="s">
        <v>122</v>
      </c>
      <c r="B38" s="143" t="s">
        <v>227</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129</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132</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136</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55.5" customHeight="1" x14ac:dyDescent="0.2">
      <c r="A42" s="26" t="s">
        <v>140</v>
      </c>
      <c r="B42" s="152" t="s">
        <v>228</v>
      </c>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57" customHeight="1" x14ac:dyDescent="0.2">
      <c r="A43" s="30" t="s">
        <v>144</v>
      </c>
      <c r="B43" s="153" t="s">
        <v>229</v>
      </c>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38.25" customHeight="1" x14ac:dyDescent="0.2">
      <c r="A44" s="30" t="s">
        <v>147</v>
      </c>
      <c r="B44" s="153" t="s">
        <v>163</v>
      </c>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45" customHeight="1" x14ac:dyDescent="0.2">
      <c r="A45" s="30" t="s">
        <v>150</v>
      </c>
      <c r="B45" s="153" t="s">
        <v>230</v>
      </c>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63.75" customHeight="1"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66" customHeight="1" x14ac:dyDescent="0.2">
      <c r="A47" s="95"/>
      <c r="B47" s="32" t="s">
        <v>154</v>
      </c>
      <c r="C47" s="145"/>
      <c r="D47" s="91"/>
      <c r="E47" s="91"/>
      <c r="F47" s="91"/>
      <c r="G47" s="91"/>
      <c r="H47" s="92"/>
      <c r="I47" s="18"/>
      <c r="J47" s="18"/>
      <c r="K47" s="18"/>
      <c r="L47" s="18"/>
      <c r="M47" s="18"/>
      <c r="N47" s="18"/>
      <c r="O47" s="18"/>
      <c r="P47" s="18"/>
      <c r="Q47" s="18"/>
      <c r="R47" s="18"/>
      <c r="S47" s="18"/>
      <c r="T47" s="18"/>
      <c r="U47" s="18"/>
      <c r="V47" s="18"/>
      <c r="W47" s="18"/>
      <c r="X47" s="18"/>
      <c r="Y47" s="18"/>
      <c r="Z47" s="18"/>
    </row>
    <row r="48" spans="1:26" ht="39.75" customHeight="1"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156</v>
      </c>
      <c r="B49" s="155" t="s">
        <v>158</v>
      </c>
      <c r="C49" s="146" t="s">
        <v>159</v>
      </c>
      <c r="D49" s="92"/>
      <c r="E49" s="147" t="s">
        <v>161</v>
      </c>
      <c r="F49" s="148" t="s">
        <v>162</v>
      </c>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v>46241</v>
      </c>
      <c r="D50" s="92"/>
      <c r="E50" s="97"/>
      <c r="F50" s="114"/>
      <c r="G50" s="134"/>
      <c r="H50" s="37">
        <v>46241</v>
      </c>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t="s">
        <v>179</v>
      </c>
      <c r="D53" s="91"/>
      <c r="E53" s="91"/>
      <c r="F53" s="92"/>
      <c r="G53" s="43" t="s">
        <v>180</v>
      </c>
      <c r="H53" s="37">
        <v>46241</v>
      </c>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51"/>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D37:H37"/>
    <mergeCell ref="B38:H38"/>
    <mergeCell ref="C39:H39"/>
    <mergeCell ref="C40:H40"/>
    <mergeCell ref="C41:H41"/>
    <mergeCell ref="D32:H32"/>
    <mergeCell ref="D33:H33"/>
    <mergeCell ref="D34:H34"/>
    <mergeCell ref="D35:H35"/>
    <mergeCell ref="D36:H36"/>
    <mergeCell ref="D27:H27"/>
    <mergeCell ref="D28:H28"/>
    <mergeCell ref="D29:H29"/>
    <mergeCell ref="D30:H30"/>
    <mergeCell ref="D31:H31"/>
    <mergeCell ref="D22:H22"/>
    <mergeCell ref="D23:H23"/>
    <mergeCell ref="D24:H24"/>
    <mergeCell ref="D25:H25"/>
    <mergeCell ref="D26:H26"/>
    <mergeCell ref="D17:H17"/>
    <mergeCell ref="D18:H18"/>
    <mergeCell ref="D19:H19"/>
    <mergeCell ref="D20:H20"/>
    <mergeCell ref="D21:H21"/>
    <mergeCell ref="B12:H12"/>
    <mergeCell ref="D13:H13"/>
    <mergeCell ref="D14:H14"/>
    <mergeCell ref="D15:H15"/>
    <mergeCell ref="D16:H16"/>
    <mergeCell ref="A51:H51"/>
    <mergeCell ref="C52:F52"/>
    <mergeCell ref="C53:F53"/>
    <mergeCell ref="A1:B2"/>
    <mergeCell ref="C1:G1"/>
    <mergeCell ref="H1:H2"/>
    <mergeCell ref="C2:G2"/>
    <mergeCell ref="B3:H3"/>
    <mergeCell ref="B4:F4"/>
    <mergeCell ref="B5:F5"/>
    <mergeCell ref="B6:H6"/>
    <mergeCell ref="B7:H7"/>
    <mergeCell ref="B8:H8"/>
    <mergeCell ref="B9:H9"/>
    <mergeCell ref="B10:H10"/>
    <mergeCell ref="B11:H11"/>
    <mergeCell ref="A39:A41"/>
    <mergeCell ref="A46:A48"/>
    <mergeCell ref="A49:A50"/>
    <mergeCell ref="B49:B50"/>
    <mergeCell ref="C48:H48"/>
    <mergeCell ref="C49:D49"/>
    <mergeCell ref="E49:E50"/>
    <mergeCell ref="F49:G50"/>
    <mergeCell ref="C50:D50"/>
    <mergeCell ref="B42:H42"/>
    <mergeCell ref="B43:H43"/>
    <mergeCell ref="B44:H44"/>
    <mergeCell ref="B45:H45"/>
    <mergeCell ref="C46:H46"/>
    <mergeCell ref="C47:H47"/>
    <mergeCell ref="A13:A37"/>
    <mergeCell ref="B13:B17"/>
    <mergeCell ref="B18:B22"/>
    <mergeCell ref="B23:B27"/>
    <mergeCell ref="B28:B32"/>
    <mergeCell ref="B33:B37"/>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showGridLines="0" tabSelected="1" workbookViewId="0">
      <selection activeCell="I40" sqref="I40"/>
    </sheetView>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1" customWidth="1"/>
    <col min="6" max="6" width="18.7109375" customWidth="1"/>
    <col min="7" max="8" width="10.7109375" customWidth="1"/>
    <col min="9" max="26" width="10.5703125" customWidth="1"/>
  </cols>
  <sheetData>
    <row r="1" spans="1:9" ht="12.75" customHeight="1" x14ac:dyDescent="0.2">
      <c r="A1" s="132"/>
      <c r="B1" s="111"/>
      <c r="C1" s="133"/>
      <c r="D1" s="135" t="s">
        <v>0</v>
      </c>
      <c r="E1" s="111"/>
      <c r="F1" s="111"/>
      <c r="G1" s="111"/>
      <c r="H1" s="132"/>
      <c r="I1" s="133"/>
    </row>
    <row r="2" spans="1:9" ht="12.75" customHeight="1" x14ac:dyDescent="0.2">
      <c r="A2" s="112"/>
      <c r="B2" s="113"/>
      <c r="C2" s="157"/>
      <c r="D2" s="137" t="s">
        <v>2</v>
      </c>
      <c r="E2" s="91"/>
      <c r="F2" s="91"/>
      <c r="G2" s="91"/>
      <c r="H2" s="112"/>
      <c r="I2" s="157"/>
    </row>
    <row r="3" spans="1:9" ht="30.75" customHeight="1" x14ac:dyDescent="0.2">
      <c r="A3" s="114"/>
      <c r="B3" s="115"/>
      <c r="C3" s="134"/>
      <c r="D3" s="137" t="s">
        <v>3</v>
      </c>
      <c r="E3" s="91"/>
      <c r="F3" s="91"/>
      <c r="G3" s="92"/>
      <c r="H3" s="114"/>
      <c r="I3" s="134"/>
    </row>
    <row r="4" spans="1:9" ht="12.75" customHeight="1" x14ac:dyDescent="0.2">
      <c r="A4" s="2"/>
      <c r="B4" s="138" t="str">
        <f>+'MODULO 3'!B3:H3</f>
        <v>Código: CEC-RCYC-02;Revisión: 02</v>
      </c>
      <c r="C4" s="111"/>
      <c r="D4" s="111"/>
      <c r="E4" s="111"/>
      <c r="F4" s="111"/>
      <c r="G4" s="111"/>
      <c r="H4" s="111"/>
      <c r="I4" s="111"/>
    </row>
    <row r="5" spans="1:9" ht="12.75" customHeight="1" x14ac:dyDescent="0.2">
      <c r="A5" s="6" t="s">
        <v>7</v>
      </c>
      <c r="B5" s="162" t="str">
        <f>+'RESUMEN DIPLOMADO'!D3</f>
        <v>DIPLOMADO EN BIG DATA E INTELIGENCIA ARTIFICIAL</v>
      </c>
      <c r="C5" s="91"/>
      <c r="D5" s="91"/>
      <c r="E5" s="91"/>
      <c r="F5" s="92"/>
      <c r="G5" s="58" t="s">
        <v>9</v>
      </c>
      <c r="H5" s="158" t="str">
        <f>+'RESUMEN DIPLOMADO'!M3</f>
        <v>150 horas
120 horas sincrónicas y
30 horas asincrónicas</v>
      </c>
      <c r="I5" s="92"/>
    </row>
    <row r="6" spans="1:9" ht="12.75" customHeight="1" x14ac:dyDescent="0.2">
      <c r="A6" s="6" t="s">
        <v>12</v>
      </c>
      <c r="B6" s="163" t="str">
        <f>+'MODULO 1 '!B5:F5</f>
        <v>MÓDULO 1. FUNDAMENTOS DE BIG DATA E INTELIGENCIA ARTIFICIAL</v>
      </c>
      <c r="C6" s="115"/>
      <c r="D6" s="115"/>
      <c r="E6" s="115"/>
      <c r="F6" s="134"/>
      <c r="G6" s="58" t="s">
        <v>9</v>
      </c>
      <c r="H6" s="176" t="str">
        <f>+'MODULO 3'!H5</f>
        <v>25 horas
(20 horas sincrónicas y 5 horas asincrónicas)</v>
      </c>
      <c r="I6" s="92"/>
    </row>
    <row r="7" spans="1:9" ht="24" customHeight="1" x14ac:dyDescent="0.2">
      <c r="A7" s="15" t="s">
        <v>18</v>
      </c>
      <c r="B7" s="165" t="s">
        <v>20</v>
      </c>
      <c r="C7" s="91"/>
      <c r="D7" s="91"/>
      <c r="E7" s="91"/>
      <c r="F7" s="91"/>
      <c r="G7" s="91"/>
      <c r="H7" s="91"/>
      <c r="I7" s="92"/>
    </row>
    <row r="8" spans="1:9" ht="25.5" customHeight="1" x14ac:dyDescent="0.2">
      <c r="A8" s="15" t="s">
        <v>23</v>
      </c>
      <c r="B8" s="165" t="str">
        <f>+'MODULO 1 '!B11:H11</f>
        <v>Comprender los fundamentos de Big Data e Inteligencia Artificial mediante conceptos y herramientas tecnológicas en contextos de análisis económico, para identificar aplicaciones orientadas a la toma de decisiones basada en datos.</v>
      </c>
      <c r="C8" s="91"/>
      <c r="D8" s="91"/>
      <c r="E8" s="91"/>
      <c r="F8" s="91"/>
      <c r="G8" s="91"/>
      <c r="H8" s="91"/>
      <c r="I8" s="92"/>
    </row>
    <row r="9" spans="1:9" ht="46.5" customHeight="1" x14ac:dyDescent="0.2">
      <c r="A9" s="15" t="s">
        <v>30</v>
      </c>
      <c r="B9" s="165" t="str">
        <f>+'MODULO 1 '!B12:H12</f>
        <v>U1. Identificar conceptos fundamentales de IA mediante análisis de aplicaciones tecnológicas en contextos económicos para comprender su impacto institucional.
U2. Analizar tipos de machine learning mediante modelos supervisados y no supervisados en escenarios analíticos para diferenciar enfoques predictivos.
U3. Reconocer ecosistemas Big Data mediante plataformas y arquitecturas de datos en entornos organizacionales para comprender su funcionamiento.
U4. Relacionar analítica avanzada mediante casos económicos institucionales para identificar oportunidades de innovación.
Aplicar herramientas básicas de IA mediante laboratorios prácticos en análisis económico para interpretar resultados analíticos.</v>
      </c>
      <c r="C9" s="91"/>
      <c r="D9" s="91"/>
      <c r="E9" s="91"/>
      <c r="F9" s="91"/>
      <c r="G9" s="91"/>
      <c r="H9" s="91"/>
      <c r="I9" s="92"/>
    </row>
    <row r="10" spans="1:9" ht="22.5" customHeight="1" x14ac:dyDescent="0.2">
      <c r="A10" s="166" t="str">
        <f>+'MODULO 3'!B13</f>
        <v>Unidad 1. Regresión y Predicción (5 horas)</v>
      </c>
      <c r="B10" s="20" t="s">
        <v>36</v>
      </c>
      <c r="C10" s="20" t="s">
        <v>37</v>
      </c>
      <c r="D10" s="159" t="s">
        <v>41</v>
      </c>
      <c r="E10" s="91"/>
      <c r="F10" s="92"/>
      <c r="G10" s="159" t="s">
        <v>43</v>
      </c>
      <c r="H10" s="92"/>
      <c r="I10" s="20" t="s">
        <v>44</v>
      </c>
    </row>
    <row r="11" spans="1:9" ht="15" customHeight="1" x14ac:dyDescent="0.2">
      <c r="A11" s="95"/>
      <c r="B11" s="20">
        <v>1</v>
      </c>
      <c r="C11" s="21">
        <v>46308</v>
      </c>
      <c r="D11" s="23" t="s">
        <v>47</v>
      </c>
      <c r="E11" s="160" t="str">
        <f>+'MODULO 3'!D13</f>
        <v>Regresión lineal.</v>
      </c>
      <c r="F11" s="92"/>
      <c r="G11" s="161" t="s">
        <v>369</v>
      </c>
      <c r="H11" s="92"/>
      <c r="I11" s="66" t="s">
        <v>366</v>
      </c>
    </row>
    <row r="12" spans="1:9" ht="15" customHeight="1" x14ac:dyDescent="0.2">
      <c r="A12" s="95"/>
      <c r="B12" s="20">
        <v>1</v>
      </c>
      <c r="C12" s="21">
        <v>46308</v>
      </c>
      <c r="D12" s="23" t="s">
        <v>49</v>
      </c>
      <c r="E12" s="160" t="str">
        <f>+'MODULO 3'!D14</f>
        <v>Regresión múltiple.</v>
      </c>
      <c r="F12" s="92"/>
      <c r="G12" s="161"/>
      <c r="H12" s="92"/>
      <c r="I12" s="66"/>
    </row>
    <row r="13" spans="1:9" ht="15" customHeight="1" x14ac:dyDescent="0.2">
      <c r="A13" s="95"/>
      <c r="B13" s="20">
        <v>1</v>
      </c>
      <c r="C13" s="21">
        <v>46308</v>
      </c>
      <c r="D13" s="23" t="s">
        <v>52</v>
      </c>
      <c r="E13" s="160" t="str">
        <f>+'MODULO 3'!D15</f>
        <v>Evaluación predictiva.</v>
      </c>
      <c r="F13" s="92"/>
      <c r="G13" s="161"/>
      <c r="H13" s="92"/>
      <c r="I13" s="66"/>
    </row>
    <row r="14" spans="1:9" ht="15" customHeight="1" x14ac:dyDescent="0.2">
      <c r="A14" s="95"/>
      <c r="B14" s="20">
        <v>2</v>
      </c>
      <c r="C14" s="21">
        <v>46309</v>
      </c>
      <c r="D14" s="23" t="s">
        <v>55</v>
      </c>
      <c r="E14" s="160" t="str">
        <f>+'MODULO 3'!D16</f>
        <v>Overfitting.</v>
      </c>
      <c r="F14" s="92"/>
      <c r="G14" s="161" t="s">
        <v>370</v>
      </c>
      <c r="H14" s="92"/>
      <c r="I14" s="66"/>
    </row>
    <row r="15" spans="1:9" ht="15" customHeight="1" x14ac:dyDescent="0.2">
      <c r="A15" s="96"/>
      <c r="B15" s="20">
        <v>2</v>
      </c>
      <c r="C15" s="21">
        <v>46309</v>
      </c>
      <c r="D15" s="23" t="s">
        <v>57</v>
      </c>
      <c r="E15" s="160" t="str">
        <f>+'MODULO 3'!D17</f>
        <v>Validación cruzada.</v>
      </c>
      <c r="F15" s="92"/>
      <c r="G15" s="161"/>
      <c r="H15" s="92"/>
      <c r="I15" s="66"/>
    </row>
    <row r="16" spans="1:9" ht="15" customHeight="1" x14ac:dyDescent="0.2">
      <c r="A16" s="166" t="str">
        <f>+'MODULO 3'!B18</f>
        <v>Unidad 2. Clasificación (5 horas)</v>
      </c>
      <c r="B16" s="20">
        <v>2</v>
      </c>
      <c r="C16" s="21">
        <v>46309</v>
      </c>
      <c r="D16" s="23" t="s">
        <v>61</v>
      </c>
      <c r="E16" s="160" t="str">
        <f>+'MODULO 3'!D18</f>
        <v>Árboles de decisión.</v>
      </c>
      <c r="F16" s="92"/>
      <c r="G16" s="161"/>
      <c r="H16" s="92"/>
      <c r="I16" s="66"/>
    </row>
    <row r="17" spans="1:9" ht="15" customHeight="1" x14ac:dyDescent="0.2">
      <c r="A17" s="95"/>
      <c r="B17" s="20">
        <v>3</v>
      </c>
      <c r="C17" s="21">
        <v>46310</v>
      </c>
      <c r="D17" s="23" t="s">
        <v>64</v>
      </c>
      <c r="E17" s="160" t="str">
        <f>+'MODULO 3'!D19</f>
        <v>Random Forest.</v>
      </c>
      <c r="F17" s="92"/>
      <c r="G17" s="161" t="s">
        <v>371</v>
      </c>
      <c r="H17" s="92"/>
      <c r="I17" s="66"/>
    </row>
    <row r="18" spans="1:9" ht="15" customHeight="1" x14ac:dyDescent="0.2">
      <c r="A18" s="95"/>
      <c r="B18" s="20">
        <v>3</v>
      </c>
      <c r="C18" s="21">
        <v>46310</v>
      </c>
      <c r="D18" s="23" t="s">
        <v>66</v>
      </c>
      <c r="E18" s="160" t="str">
        <f>+'MODULO 3'!D20</f>
        <v>SVM.</v>
      </c>
      <c r="F18" s="92"/>
      <c r="G18" s="161"/>
      <c r="H18" s="92"/>
      <c r="I18" s="66"/>
    </row>
    <row r="19" spans="1:9" ht="15" customHeight="1" x14ac:dyDescent="0.2">
      <c r="A19" s="95"/>
      <c r="B19" s="20">
        <v>3</v>
      </c>
      <c r="C19" s="21">
        <v>46310</v>
      </c>
      <c r="D19" s="23" t="s">
        <v>69</v>
      </c>
      <c r="E19" s="160" t="str">
        <f>+'MODULO 3'!D21</f>
        <v>KNN.</v>
      </c>
      <c r="F19" s="92"/>
      <c r="G19" s="161"/>
      <c r="H19" s="92"/>
      <c r="I19" s="66"/>
    </row>
    <row r="20" spans="1:9" ht="15" customHeight="1" x14ac:dyDescent="0.2">
      <c r="A20" s="96"/>
      <c r="B20" s="20">
        <v>3</v>
      </c>
      <c r="C20" s="21">
        <v>46310</v>
      </c>
      <c r="D20" s="23" t="s">
        <v>72</v>
      </c>
      <c r="E20" s="160" t="str">
        <f>+'MODULO 3'!D22</f>
        <v>Métricas de clasificación.</v>
      </c>
      <c r="F20" s="92"/>
      <c r="G20" s="161"/>
      <c r="H20" s="92"/>
      <c r="I20" s="66"/>
    </row>
    <row r="21" spans="1:9" ht="15" customHeight="1" x14ac:dyDescent="0.2">
      <c r="A21" s="166" t="str">
        <f>+'MODULO 3'!B23</f>
        <v>Unidad 3. Clustering y Segmentación (5 horas)</v>
      </c>
      <c r="B21" s="20">
        <v>4</v>
      </c>
      <c r="C21" s="21">
        <v>46311</v>
      </c>
      <c r="D21" s="23" t="s">
        <v>76</v>
      </c>
      <c r="E21" s="160" t="str">
        <f>+'MODULO 3'!D23</f>
        <v>K-Means.</v>
      </c>
      <c r="F21" s="92"/>
      <c r="G21" s="161" t="s">
        <v>374</v>
      </c>
      <c r="H21" s="92"/>
      <c r="I21" s="66" t="s">
        <v>367</v>
      </c>
    </row>
    <row r="22" spans="1:9" ht="15" customHeight="1" x14ac:dyDescent="0.2">
      <c r="A22" s="95"/>
      <c r="B22" s="20">
        <v>4</v>
      </c>
      <c r="C22" s="21">
        <v>46311</v>
      </c>
      <c r="D22" s="23" t="s">
        <v>78</v>
      </c>
      <c r="E22" s="160" t="str">
        <f>+'MODULO 3'!D24</f>
        <v>Clustering jerárquico.</v>
      </c>
      <c r="F22" s="92"/>
      <c r="G22" s="161"/>
      <c r="H22" s="92"/>
      <c r="I22" s="66"/>
    </row>
    <row r="23" spans="1:9" ht="15" customHeight="1" x14ac:dyDescent="0.2">
      <c r="A23" s="95"/>
      <c r="B23" s="20">
        <v>4</v>
      </c>
      <c r="C23" s="21">
        <v>46311</v>
      </c>
      <c r="D23" s="23" t="s">
        <v>81</v>
      </c>
      <c r="E23" s="160" t="str">
        <f>+'MODULO 3'!D25</f>
        <v>Segmentación económica.</v>
      </c>
      <c r="F23" s="92"/>
      <c r="G23" s="161"/>
      <c r="H23" s="92"/>
      <c r="I23" s="66"/>
    </row>
    <row r="24" spans="1:9" ht="15" customHeight="1" x14ac:dyDescent="0.2">
      <c r="A24" s="95"/>
      <c r="B24" s="20">
        <v>4</v>
      </c>
      <c r="C24" s="21">
        <v>46311</v>
      </c>
      <c r="D24" s="23" t="s">
        <v>85</v>
      </c>
      <c r="E24" s="160" t="str">
        <f>+'MODULO 3'!D26</f>
        <v>Detección de patrones.</v>
      </c>
      <c r="F24" s="92"/>
      <c r="G24" s="161"/>
      <c r="H24" s="92"/>
      <c r="I24" s="66"/>
    </row>
    <row r="25" spans="1:9" ht="15" customHeight="1" x14ac:dyDescent="0.2">
      <c r="A25" s="96"/>
      <c r="B25" s="20">
        <v>4</v>
      </c>
      <c r="C25" s="21">
        <v>46311</v>
      </c>
      <c r="D25" s="23" t="s">
        <v>87</v>
      </c>
      <c r="E25" s="160" t="str">
        <f>+'MODULO 3'!D27</f>
        <v>Interpretación de clusters</v>
      </c>
      <c r="F25" s="92"/>
      <c r="G25" s="161"/>
      <c r="H25" s="92"/>
      <c r="I25" s="66"/>
    </row>
    <row r="26" spans="1:9" ht="12.75" customHeight="1" x14ac:dyDescent="0.2">
      <c r="A26" s="166" t="str">
        <f>+'MODULO 3'!B28</f>
        <v>Unidad 4. Reducción de Dimensionalidad (5 horas)</v>
      </c>
      <c r="B26" s="20">
        <v>5</v>
      </c>
      <c r="C26" s="21">
        <v>46312</v>
      </c>
      <c r="D26" s="23" t="s">
        <v>92</v>
      </c>
      <c r="E26" s="160" t="str">
        <f>+'MODULO 3'!D28</f>
        <v>PCA.</v>
      </c>
      <c r="F26" s="92"/>
      <c r="G26" s="161" t="s">
        <v>372</v>
      </c>
      <c r="H26" s="92"/>
      <c r="I26" s="66" t="s">
        <v>367</v>
      </c>
    </row>
    <row r="27" spans="1:9" ht="12.75" customHeight="1" x14ac:dyDescent="0.2">
      <c r="A27" s="95"/>
      <c r="B27" s="20">
        <v>5</v>
      </c>
      <c r="C27" s="21">
        <v>46312</v>
      </c>
      <c r="D27" s="23" t="s">
        <v>95</v>
      </c>
      <c r="E27" s="160" t="str">
        <f>+'MODULO 3'!D29</f>
        <v>Selección de variables.</v>
      </c>
      <c r="F27" s="92"/>
      <c r="G27" s="161"/>
      <c r="H27" s="92"/>
      <c r="I27" s="66"/>
    </row>
    <row r="28" spans="1:9" ht="12.75" customHeight="1" x14ac:dyDescent="0.2">
      <c r="A28" s="95"/>
      <c r="B28" s="20">
        <v>5</v>
      </c>
      <c r="C28" s="21">
        <v>46312</v>
      </c>
      <c r="D28" s="23" t="s">
        <v>98</v>
      </c>
      <c r="E28" s="160" t="str">
        <f>+'MODULO 3'!D30</f>
        <v>Ingeniería de características.</v>
      </c>
      <c r="F28" s="92"/>
      <c r="G28" s="161"/>
      <c r="H28" s="92"/>
      <c r="I28" s="66"/>
    </row>
    <row r="29" spans="1:9" ht="12.75" customHeight="1" x14ac:dyDescent="0.2">
      <c r="A29" s="95"/>
      <c r="B29" s="20">
        <v>6</v>
      </c>
      <c r="C29" s="21">
        <v>46313</v>
      </c>
      <c r="D29" s="23" t="s">
        <v>101</v>
      </c>
      <c r="E29" s="160" t="str">
        <f>+'MODULO 3'!D31</f>
        <v>Visualización multidimensional.</v>
      </c>
      <c r="F29" s="92"/>
      <c r="G29" s="161" t="s">
        <v>373</v>
      </c>
      <c r="H29" s="92"/>
      <c r="I29" s="66" t="s">
        <v>367</v>
      </c>
    </row>
    <row r="30" spans="1:9" ht="12.75" customHeight="1" x14ac:dyDescent="0.2">
      <c r="A30" s="96"/>
      <c r="B30" s="20">
        <v>6</v>
      </c>
      <c r="C30" s="21">
        <v>46313</v>
      </c>
      <c r="D30" s="23" t="s">
        <v>104</v>
      </c>
      <c r="E30" s="160" t="str">
        <f>+'MODULO 3'!D32</f>
        <v>Optimización de modelos.</v>
      </c>
      <c r="F30" s="92"/>
      <c r="G30" s="161"/>
      <c r="H30" s="92"/>
      <c r="I30" s="66"/>
    </row>
    <row r="31" spans="1:9" ht="12.75" customHeight="1" x14ac:dyDescent="0.2">
      <c r="A31" s="166" t="str">
        <f>+'MODULO 3'!B33</f>
        <v>Unidad 5. Taller de Modelos Predictivos (5 horas)</v>
      </c>
      <c r="B31" s="20">
        <v>6</v>
      </c>
      <c r="C31" s="21">
        <v>46313</v>
      </c>
      <c r="D31" s="23" t="s">
        <v>108</v>
      </c>
      <c r="E31" s="160" t="str">
        <f>+'MODULO 3'!D33</f>
        <v>Construcción de modelos.</v>
      </c>
      <c r="F31" s="92"/>
      <c r="G31" s="161"/>
      <c r="H31" s="92"/>
      <c r="I31" s="66"/>
    </row>
    <row r="32" spans="1:9" ht="12.75" customHeight="1" x14ac:dyDescent="0.2">
      <c r="A32" s="95"/>
      <c r="B32" s="20">
        <v>6</v>
      </c>
      <c r="C32" s="21">
        <v>46313</v>
      </c>
      <c r="D32" s="23" t="s">
        <v>111</v>
      </c>
      <c r="E32" s="160" t="str">
        <f>+'MODULO 3'!D34</f>
        <v>Evaluación comparativa.</v>
      </c>
      <c r="F32" s="92"/>
      <c r="G32" s="161"/>
      <c r="H32" s="92"/>
      <c r="I32" s="66"/>
    </row>
    <row r="33" spans="1:9" ht="12.75" customHeight="1" x14ac:dyDescent="0.2">
      <c r="A33" s="95"/>
      <c r="B33" s="20">
        <v>7</v>
      </c>
      <c r="C33" s="21">
        <v>46314</v>
      </c>
      <c r="D33" s="23" t="s">
        <v>113</v>
      </c>
      <c r="E33" s="160" t="str">
        <f>+'MODULO 3'!D35</f>
        <v>Automatización de análisis.</v>
      </c>
      <c r="F33" s="92"/>
      <c r="G33" s="161" t="s">
        <v>375</v>
      </c>
      <c r="H33" s="92"/>
      <c r="I33" s="66" t="s">
        <v>368</v>
      </c>
    </row>
    <row r="34" spans="1:9" ht="12.75" customHeight="1" x14ac:dyDescent="0.2">
      <c r="A34" s="95"/>
      <c r="B34" s="20">
        <v>7</v>
      </c>
      <c r="C34" s="21">
        <v>46314</v>
      </c>
      <c r="D34" s="23" t="s">
        <v>116</v>
      </c>
      <c r="E34" s="160" t="str">
        <f>+'MODULO 3'!D36</f>
        <v>Forecasting económico.</v>
      </c>
      <c r="F34" s="92"/>
      <c r="G34" s="161"/>
      <c r="H34" s="92"/>
      <c r="I34" s="66"/>
    </row>
    <row r="35" spans="1:9" ht="12.75" customHeight="1" x14ac:dyDescent="0.2">
      <c r="A35" s="96"/>
      <c r="B35" s="20">
        <v>7</v>
      </c>
      <c r="C35" s="21">
        <v>46314</v>
      </c>
      <c r="D35" s="23" t="s">
        <v>119</v>
      </c>
      <c r="E35" s="160" t="str">
        <f>+'MODULO 3'!D37</f>
        <v>Presentación de resultados.</v>
      </c>
      <c r="F35" s="92"/>
      <c r="G35" s="161"/>
      <c r="H35" s="92"/>
      <c r="I35" s="66"/>
    </row>
    <row r="36" spans="1:9" ht="49.5" customHeight="1" x14ac:dyDescent="0.2">
      <c r="A36" s="36" t="s">
        <v>140</v>
      </c>
      <c r="B36" s="170" t="str">
        <f>+'MODULO 3'!B42:H42</f>
        <v>Hastie, T., Tibshirani, R., &amp; Friedman, J. (2021). The Elements of Statistical Learning. Springer. https://hastie.su.domains/ElemStatLearn/
James, G. et al. (2023). An Introduction to Statistical Learning. Springer. https://www.statlearning.com
Géron, A. (2022). Hands-On Machine Learning with Scikit-Learn, Keras, and TensorFlow. O'Reilly Media. https://www.oreilly.com</v>
      </c>
      <c r="C36" s="91"/>
      <c r="D36" s="91"/>
      <c r="E36" s="91"/>
      <c r="F36" s="91"/>
      <c r="G36" s="91"/>
      <c r="H36" s="91"/>
      <c r="I36" s="92"/>
    </row>
    <row r="37" spans="1:9" ht="22.5" customHeight="1" x14ac:dyDescent="0.2">
      <c r="A37" s="175" t="s">
        <v>167</v>
      </c>
      <c r="B37" s="168" t="s">
        <v>44</v>
      </c>
      <c r="C37" s="91"/>
      <c r="D37" s="92"/>
      <c r="E37" s="168" t="s">
        <v>171</v>
      </c>
      <c r="F37" s="92"/>
      <c r="G37" s="39" t="s">
        <v>172</v>
      </c>
      <c r="H37" s="39" t="s">
        <v>176</v>
      </c>
      <c r="I37" s="39" t="s">
        <v>177</v>
      </c>
    </row>
    <row r="38" spans="1:9" ht="12.75" customHeight="1" x14ac:dyDescent="0.2">
      <c r="A38" s="95"/>
      <c r="B38" s="169" t="s">
        <v>366</v>
      </c>
      <c r="C38" s="91"/>
      <c r="D38" s="92"/>
      <c r="E38" s="169" t="s">
        <v>376</v>
      </c>
      <c r="F38" s="92"/>
      <c r="G38" s="42">
        <v>1</v>
      </c>
      <c r="H38" s="42">
        <v>0</v>
      </c>
      <c r="I38" s="47">
        <f t="shared" ref="I38:I42" si="0">+G38*H38</f>
        <v>0</v>
      </c>
    </row>
    <row r="39" spans="1:9" ht="12.75" customHeight="1" x14ac:dyDescent="0.2">
      <c r="A39" s="95"/>
      <c r="B39" s="169" t="s">
        <v>367</v>
      </c>
      <c r="C39" s="91"/>
      <c r="D39" s="92"/>
      <c r="E39" s="169" t="s">
        <v>377</v>
      </c>
      <c r="F39" s="92"/>
      <c r="G39" s="42">
        <v>3</v>
      </c>
      <c r="H39" s="42">
        <v>20</v>
      </c>
      <c r="I39" s="47">
        <f t="shared" si="0"/>
        <v>60</v>
      </c>
    </row>
    <row r="40" spans="1:9" ht="12.75" customHeight="1" x14ac:dyDescent="0.2">
      <c r="A40" s="95"/>
      <c r="B40" s="169" t="s">
        <v>368</v>
      </c>
      <c r="C40" s="91"/>
      <c r="D40" s="92"/>
      <c r="E40" s="169" t="s">
        <v>377</v>
      </c>
      <c r="F40" s="92"/>
      <c r="G40" s="42">
        <v>1</v>
      </c>
      <c r="H40" s="42">
        <v>40</v>
      </c>
      <c r="I40" s="47">
        <f t="shared" si="0"/>
        <v>40</v>
      </c>
    </row>
    <row r="41" spans="1:9" ht="12.75" customHeight="1" x14ac:dyDescent="0.2">
      <c r="A41" s="95"/>
      <c r="B41" s="169"/>
      <c r="C41" s="91"/>
      <c r="D41" s="92"/>
      <c r="E41" s="169"/>
      <c r="F41" s="92"/>
      <c r="G41" s="42"/>
      <c r="H41" s="42"/>
      <c r="I41" s="47">
        <f t="shared" si="0"/>
        <v>0</v>
      </c>
    </row>
    <row r="42" spans="1:9" ht="12.75" customHeight="1" x14ac:dyDescent="0.2">
      <c r="A42" s="95"/>
      <c r="B42" s="169"/>
      <c r="C42" s="91"/>
      <c r="D42" s="92"/>
      <c r="E42" s="169"/>
      <c r="F42" s="92"/>
      <c r="G42" s="42"/>
      <c r="H42" s="42"/>
      <c r="I42" s="47">
        <f t="shared" si="0"/>
        <v>0</v>
      </c>
    </row>
    <row r="43" spans="1:9" ht="12.75" customHeight="1" x14ac:dyDescent="0.2">
      <c r="A43" s="97"/>
      <c r="B43" s="171" t="s">
        <v>181</v>
      </c>
      <c r="C43" s="91"/>
      <c r="D43" s="91"/>
      <c r="E43" s="91"/>
      <c r="F43" s="91"/>
      <c r="G43" s="91"/>
      <c r="H43" s="92"/>
      <c r="I43" s="47">
        <f>SUM(I38:I42)</f>
        <v>100</v>
      </c>
    </row>
    <row r="44" spans="1:9" ht="12.75" customHeight="1" x14ac:dyDescent="0.2">
      <c r="A44" s="172" t="s">
        <v>182</v>
      </c>
      <c r="B44" s="173" t="s">
        <v>378</v>
      </c>
      <c r="C44" s="111"/>
      <c r="D44" s="111"/>
      <c r="E44" s="133"/>
      <c r="F44" s="50" t="s">
        <v>183</v>
      </c>
      <c r="G44" s="172" t="s">
        <v>161</v>
      </c>
      <c r="H44" s="174"/>
      <c r="I44" s="133"/>
    </row>
    <row r="45" spans="1:9" ht="12.75" customHeight="1" x14ac:dyDescent="0.2">
      <c r="A45" s="97"/>
      <c r="B45" s="114"/>
      <c r="C45" s="115"/>
      <c r="D45" s="115"/>
      <c r="E45" s="134"/>
      <c r="F45" s="181">
        <v>46307</v>
      </c>
      <c r="G45" s="97"/>
      <c r="H45" s="114"/>
      <c r="I45" s="134"/>
    </row>
    <row r="46" spans="1:9" ht="12.75" customHeight="1" x14ac:dyDescent="0.2">
      <c r="A46" s="68"/>
      <c r="B46" s="68"/>
      <c r="C46" s="68"/>
      <c r="D46" s="68"/>
      <c r="E46" s="68"/>
      <c r="F46" s="68"/>
      <c r="G46" s="68"/>
      <c r="H46" s="68"/>
      <c r="I46" s="68"/>
    </row>
    <row r="47" spans="1:9" ht="12.75" customHeight="1" x14ac:dyDescent="0.2"/>
    <row r="48" spans="1:9"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89">
    <mergeCell ref="G16:H16"/>
    <mergeCell ref="G17:H17"/>
    <mergeCell ref="A21:A25"/>
    <mergeCell ref="A26:A30"/>
    <mergeCell ref="E26:F26"/>
    <mergeCell ref="G26:H26"/>
    <mergeCell ref="E27:F27"/>
    <mergeCell ref="G27:H27"/>
    <mergeCell ref="E28:F28"/>
    <mergeCell ref="G28:H28"/>
    <mergeCell ref="E30:F30"/>
    <mergeCell ref="A31:A35"/>
    <mergeCell ref="E31:F31"/>
    <mergeCell ref="E32:F32"/>
    <mergeCell ref="E33:F33"/>
    <mergeCell ref="E34:F34"/>
    <mergeCell ref="E35:F35"/>
    <mergeCell ref="B42:D42"/>
    <mergeCell ref="E42:F42"/>
    <mergeCell ref="B43:H43"/>
    <mergeCell ref="A44:A45"/>
    <mergeCell ref="B44:E45"/>
    <mergeCell ref="G44:G45"/>
    <mergeCell ref="H44:I45"/>
    <mergeCell ref="A37:A43"/>
    <mergeCell ref="B37:D37"/>
    <mergeCell ref="B39:D39"/>
    <mergeCell ref="E39:F39"/>
    <mergeCell ref="B40:D40"/>
    <mergeCell ref="E40:F40"/>
    <mergeCell ref="B41:D41"/>
    <mergeCell ref="E41:F41"/>
    <mergeCell ref="G34:H34"/>
    <mergeCell ref="G35:H35"/>
    <mergeCell ref="E37:F37"/>
    <mergeCell ref="B38:D38"/>
    <mergeCell ref="E38:F38"/>
    <mergeCell ref="B36:I36"/>
    <mergeCell ref="G30:H30"/>
    <mergeCell ref="G31:H31"/>
    <mergeCell ref="G32:H32"/>
    <mergeCell ref="G33:H33"/>
    <mergeCell ref="E23:F23"/>
    <mergeCell ref="G23:H23"/>
    <mergeCell ref="E24:F24"/>
    <mergeCell ref="G24:H24"/>
    <mergeCell ref="E25:F25"/>
    <mergeCell ref="G25:H25"/>
    <mergeCell ref="E29:F29"/>
    <mergeCell ref="G29:H29"/>
    <mergeCell ref="E20:F20"/>
    <mergeCell ref="G20:H20"/>
    <mergeCell ref="G21:H21"/>
    <mergeCell ref="E22:F22"/>
    <mergeCell ref="G22:H22"/>
    <mergeCell ref="E21:F21"/>
    <mergeCell ref="A10:A15"/>
    <mergeCell ref="E18:F18"/>
    <mergeCell ref="G18:H18"/>
    <mergeCell ref="E19:F19"/>
    <mergeCell ref="G19:H19"/>
    <mergeCell ref="E17:F17"/>
    <mergeCell ref="E16:F16"/>
    <mergeCell ref="E12:F12"/>
    <mergeCell ref="G12:H12"/>
    <mergeCell ref="E13:F13"/>
    <mergeCell ref="G13:H13"/>
    <mergeCell ref="E14:F14"/>
    <mergeCell ref="G14:H14"/>
    <mergeCell ref="E15:F15"/>
    <mergeCell ref="G15:H15"/>
    <mergeCell ref="A16:A20"/>
    <mergeCell ref="B4:I4"/>
    <mergeCell ref="H5:I5"/>
    <mergeCell ref="D10:F10"/>
    <mergeCell ref="G10:H10"/>
    <mergeCell ref="E11:F11"/>
    <mergeCell ref="G11:H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0600-000000000000}">
          <x14:formula1>
            <xm:f>'LISTAS-OCULTAR'!$A$1:$A$4</xm:f>
          </x14:formula1>
          <xm:sqref>I11:I12 I14:I35</xm:sqref>
        </x14:dataValidation>
        <x14:dataValidation type="list" allowBlank="1" showErrorMessage="1" xr:uid="{00000000-0002-0000-0600-000001000000}">
          <x14:formula1>
            <xm:f>'LISTAS-OCULTAR'!$A$1:$A$3</xm:f>
          </x14:formula1>
          <xm:sqref>B38:B42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topLeftCell="A12" workbookViewId="0">
      <selection sqref="A1:B2"/>
    </sheetView>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22.5" customHeight="1" x14ac:dyDescent="0.25">
      <c r="A4" s="4" t="s">
        <v>7</v>
      </c>
      <c r="B4" s="139" t="str">
        <f>+'RESUMEN DIPLOMADO'!D3</f>
        <v>DIPLOMADO EN BIG DATA E INTELIGENCIA ARTIFICIAL</v>
      </c>
      <c r="C4" s="91"/>
      <c r="D4" s="91"/>
      <c r="E4" s="91"/>
      <c r="F4" s="92"/>
      <c r="G4" s="7" t="s">
        <v>9</v>
      </c>
      <c r="H4" s="10" t="str">
        <f>+'RESUMEN DIPLOMADO'!M3</f>
        <v>150 horas
120 horas sincrónicas y
30 horas asincrónicas</v>
      </c>
      <c r="I4" s="11"/>
      <c r="J4" s="11"/>
      <c r="K4" s="11"/>
      <c r="L4" s="11"/>
      <c r="M4" s="11"/>
      <c r="N4" s="11"/>
      <c r="O4" s="11"/>
      <c r="P4" s="11"/>
      <c r="Q4" s="11"/>
      <c r="R4" s="11"/>
      <c r="S4" s="11"/>
      <c r="T4" s="11"/>
      <c r="U4" s="11"/>
      <c r="V4" s="11"/>
      <c r="W4" s="11"/>
      <c r="X4" s="11"/>
      <c r="Y4" s="11"/>
      <c r="Z4" s="11"/>
    </row>
    <row r="5" spans="1:26" ht="22.5" customHeight="1" x14ac:dyDescent="0.25">
      <c r="A5" s="12" t="s">
        <v>231</v>
      </c>
      <c r="B5" s="139" t="s">
        <v>232</v>
      </c>
      <c r="C5" s="91"/>
      <c r="D5" s="91"/>
      <c r="E5" s="91"/>
      <c r="F5" s="92"/>
      <c r="G5" s="14" t="s">
        <v>9</v>
      </c>
      <c r="H5" s="16" t="s">
        <v>19</v>
      </c>
      <c r="I5" s="11"/>
      <c r="J5" s="11"/>
      <c r="K5" s="11"/>
      <c r="L5" s="11"/>
      <c r="M5" s="11"/>
      <c r="N5" s="11"/>
      <c r="O5" s="11"/>
      <c r="P5" s="11"/>
      <c r="Q5" s="11"/>
      <c r="R5" s="11"/>
      <c r="S5" s="11"/>
      <c r="T5" s="11"/>
      <c r="U5" s="11"/>
      <c r="V5" s="11"/>
      <c r="W5" s="11"/>
      <c r="X5" s="11"/>
      <c r="Y5" s="11"/>
      <c r="Z5" s="11"/>
    </row>
    <row r="6" spans="1:26" ht="77.25" customHeight="1" x14ac:dyDescent="0.2">
      <c r="A6" s="17" t="s">
        <v>34</v>
      </c>
      <c r="B6" s="140" t="s">
        <v>233</v>
      </c>
      <c r="C6" s="91"/>
      <c r="D6" s="91"/>
      <c r="E6" s="91"/>
      <c r="F6" s="91"/>
      <c r="G6" s="91"/>
      <c r="H6" s="92"/>
      <c r="I6" s="18"/>
      <c r="J6" s="18"/>
      <c r="K6" s="18"/>
      <c r="L6" s="18"/>
      <c r="M6" s="18"/>
      <c r="N6" s="18"/>
      <c r="O6" s="18"/>
      <c r="P6" s="18"/>
      <c r="Q6" s="18"/>
      <c r="R6" s="18"/>
      <c r="S6" s="18"/>
      <c r="T6" s="18"/>
      <c r="U6" s="18"/>
      <c r="V6" s="18"/>
      <c r="W6" s="18"/>
      <c r="X6" s="18"/>
      <c r="Y6" s="18"/>
      <c r="Z6" s="18"/>
    </row>
    <row r="7" spans="1:26" ht="27" customHeight="1" x14ac:dyDescent="0.2">
      <c r="A7" s="17" t="s">
        <v>13</v>
      </c>
      <c r="B7" s="140" t="s">
        <v>234</v>
      </c>
      <c r="C7" s="91"/>
      <c r="D7" s="91"/>
      <c r="E7" s="91"/>
      <c r="F7" s="91"/>
      <c r="G7" s="91"/>
      <c r="H7" s="92"/>
      <c r="I7" s="18"/>
      <c r="J7" s="18"/>
      <c r="K7" s="18"/>
      <c r="L7" s="18"/>
      <c r="M7" s="18"/>
      <c r="N7" s="18"/>
      <c r="O7" s="18"/>
      <c r="P7" s="18"/>
      <c r="Q7" s="18"/>
      <c r="R7" s="18"/>
      <c r="S7" s="18"/>
      <c r="T7" s="18"/>
      <c r="U7" s="18"/>
      <c r="V7" s="18"/>
      <c r="W7" s="18"/>
      <c r="X7" s="18"/>
      <c r="Y7" s="18"/>
      <c r="Z7" s="18"/>
    </row>
    <row r="8" spans="1:26" ht="30" customHeight="1" x14ac:dyDescent="0.2">
      <c r="A8" s="17" t="s">
        <v>31</v>
      </c>
      <c r="B8" s="140" t="s">
        <v>235</v>
      </c>
      <c r="C8" s="91"/>
      <c r="D8" s="91"/>
      <c r="E8" s="91"/>
      <c r="F8" s="91"/>
      <c r="G8" s="91"/>
      <c r="H8" s="92"/>
      <c r="I8" s="18"/>
      <c r="J8" s="18"/>
      <c r="K8" s="18"/>
      <c r="L8" s="18"/>
      <c r="M8" s="18"/>
      <c r="N8" s="18"/>
      <c r="O8" s="18"/>
      <c r="P8" s="18"/>
      <c r="Q8" s="18"/>
      <c r="R8" s="18"/>
      <c r="S8" s="18"/>
      <c r="T8" s="18"/>
      <c r="U8" s="18"/>
      <c r="V8" s="18"/>
      <c r="W8" s="18"/>
      <c r="X8" s="18"/>
      <c r="Y8" s="18"/>
      <c r="Z8" s="18"/>
    </row>
    <row r="9" spans="1:26" ht="51" customHeight="1" x14ac:dyDescent="0.2">
      <c r="A9" s="17" t="s">
        <v>22</v>
      </c>
      <c r="B9" s="140" t="s">
        <v>236</v>
      </c>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20</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t="s">
        <v>237</v>
      </c>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87" customHeight="1" x14ac:dyDescent="0.2">
      <c r="A12" s="17" t="s">
        <v>30</v>
      </c>
      <c r="B12" s="140" t="s">
        <v>238</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9.25" customHeight="1" x14ac:dyDescent="0.2">
      <c r="A13" s="130" t="s">
        <v>41</v>
      </c>
      <c r="B13" s="131" t="s">
        <v>239</v>
      </c>
      <c r="C13" s="22" t="s">
        <v>47</v>
      </c>
      <c r="D13" s="141" t="s">
        <v>240</v>
      </c>
      <c r="E13" s="91"/>
      <c r="F13" s="91"/>
      <c r="G13" s="91"/>
      <c r="H13" s="178"/>
      <c r="I13" s="18"/>
      <c r="J13" s="18"/>
      <c r="K13" s="18"/>
      <c r="L13" s="18"/>
      <c r="M13" s="18"/>
      <c r="N13" s="18"/>
      <c r="O13" s="18"/>
      <c r="P13" s="18"/>
      <c r="Q13" s="18"/>
      <c r="R13" s="18"/>
      <c r="S13" s="18"/>
      <c r="T13" s="18"/>
      <c r="U13" s="18"/>
      <c r="V13" s="18"/>
      <c r="W13" s="18"/>
      <c r="X13" s="18"/>
      <c r="Y13" s="18"/>
      <c r="Z13" s="18"/>
    </row>
    <row r="14" spans="1:26" ht="28.5" customHeight="1" x14ac:dyDescent="0.2">
      <c r="A14" s="95"/>
      <c r="B14" s="95"/>
      <c r="C14" s="22" t="s">
        <v>49</v>
      </c>
      <c r="D14" s="141" t="s">
        <v>241</v>
      </c>
      <c r="E14" s="91"/>
      <c r="F14" s="91"/>
      <c r="G14" s="91"/>
      <c r="H14" s="92"/>
      <c r="I14" s="18"/>
      <c r="J14" s="18"/>
      <c r="K14" s="18"/>
      <c r="L14" s="18"/>
      <c r="M14" s="18"/>
      <c r="N14" s="18"/>
      <c r="O14" s="18"/>
      <c r="P14" s="18"/>
      <c r="Q14" s="18"/>
      <c r="R14" s="18"/>
      <c r="S14" s="18"/>
      <c r="T14" s="18"/>
      <c r="U14" s="18"/>
      <c r="V14" s="18"/>
      <c r="W14" s="18"/>
      <c r="X14" s="18"/>
      <c r="Y14" s="18"/>
      <c r="Z14" s="18"/>
    </row>
    <row r="15" spans="1:26" ht="28.5" customHeight="1" x14ac:dyDescent="0.2">
      <c r="A15" s="95"/>
      <c r="B15" s="95"/>
      <c r="C15" s="22" t="s">
        <v>52</v>
      </c>
      <c r="D15" s="142" t="s">
        <v>242</v>
      </c>
      <c r="E15" s="91"/>
      <c r="F15" s="91"/>
      <c r="G15" s="91"/>
      <c r="H15" s="92"/>
      <c r="I15" s="18"/>
      <c r="J15" s="18"/>
      <c r="K15" s="18"/>
      <c r="L15" s="18"/>
      <c r="M15" s="18"/>
      <c r="N15" s="18"/>
      <c r="O15" s="18"/>
      <c r="P15" s="18"/>
      <c r="Q15" s="18"/>
      <c r="R15" s="18"/>
      <c r="S15" s="18"/>
      <c r="T15" s="18"/>
      <c r="U15" s="18"/>
      <c r="V15" s="18"/>
      <c r="W15" s="18"/>
      <c r="X15" s="18"/>
      <c r="Y15" s="18"/>
      <c r="Z15" s="18"/>
    </row>
    <row r="16" spans="1:26" ht="28.5" customHeight="1" x14ac:dyDescent="0.2">
      <c r="A16" s="95"/>
      <c r="B16" s="95"/>
      <c r="C16" s="22" t="s">
        <v>55</v>
      </c>
      <c r="D16" s="142" t="s">
        <v>243</v>
      </c>
      <c r="E16" s="91"/>
      <c r="F16" s="91"/>
      <c r="G16" s="91"/>
      <c r="H16" s="92"/>
      <c r="I16" s="18"/>
      <c r="J16" s="18"/>
      <c r="K16" s="18"/>
      <c r="L16" s="18"/>
      <c r="M16" s="18"/>
      <c r="N16" s="18"/>
      <c r="O16" s="18"/>
      <c r="P16" s="18"/>
      <c r="Q16" s="18"/>
      <c r="R16" s="18"/>
      <c r="S16" s="18"/>
      <c r="T16" s="18"/>
      <c r="U16" s="18"/>
      <c r="V16" s="18"/>
      <c r="W16" s="18"/>
      <c r="X16" s="18"/>
      <c r="Y16" s="18"/>
      <c r="Z16" s="18"/>
    </row>
    <row r="17" spans="1:26" ht="28.5" customHeight="1" x14ac:dyDescent="0.2">
      <c r="A17" s="95"/>
      <c r="B17" s="97"/>
      <c r="C17" s="22" t="s">
        <v>57</v>
      </c>
      <c r="D17" s="142" t="s">
        <v>244</v>
      </c>
      <c r="E17" s="91"/>
      <c r="F17" s="91"/>
      <c r="G17" s="91"/>
      <c r="H17" s="92"/>
      <c r="I17" s="18"/>
      <c r="J17" s="18"/>
      <c r="K17" s="18"/>
      <c r="L17" s="18"/>
      <c r="M17" s="18"/>
      <c r="N17" s="18"/>
      <c r="O17" s="18"/>
      <c r="P17" s="18"/>
      <c r="Q17" s="18"/>
      <c r="R17" s="18"/>
      <c r="S17" s="18"/>
      <c r="T17" s="18"/>
      <c r="U17" s="18"/>
      <c r="V17" s="18"/>
      <c r="W17" s="18"/>
      <c r="X17" s="18"/>
      <c r="Y17" s="18"/>
      <c r="Z17" s="18"/>
    </row>
    <row r="18" spans="1:26" ht="28.5" customHeight="1" x14ac:dyDescent="0.2">
      <c r="A18" s="95"/>
      <c r="B18" s="131" t="s">
        <v>245</v>
      </c>
      <c r="C18" s="22" t="s">
        <v>61</v>
      </c>
      <c r="D18" s="142" t="s">
        <v>246</v>
      </c>
      <c r="E18" s="91"/>
      <c r="F18" s="91"/>
      <c r="G18" s="91"/>
      <c r="H18" s="92"/>
      <c r="I18" s="18"/>
      <c r="J18" s="18"/>
      <c r="K18" s="18"/>
      <c r="L18" s="18"/>
      <c r="M18" s="18"/>
      <c r="N18" s="18"/>
      <c r="O18" s="18"/>
      <c r="P18" s="18"/>
      <c r="Q18" s="18"/>
      <c r="R18" s="18"/>
      <c r="S18" s="18"/>
      <c r="T18" s="18"/>
      <c r="U18" s="18"/>
      <c r="V18" s="18"/>
      <c r="W18" s="18"/>
      <c r="X18" s="18"/>
      <c r="Y18" s="18"/>
      <c r="Z18" s="18"/>
    </row>
    <row r="19" spans="1:26" ht="28.5" customHeight="1" x14ac:dyDescent="0.2">
      <c r="A19" s="95"/>
      <c r="B19" s="95"/>
      <c r="C19" s="22" t="s">
        <v>64</v>
      </c>
      <c r="D19" s="142" t="s">
        <v>247</v>
      </c>
      <c r="E19" s="91"/>
      <c r="F19" s="91"/>
      <c r="G19" s="91"/>
      <c r="H19" s="92"/>
      <c r="I19" s="18"/>
      <c r="J19" s="18"/>
      <c r="K19" s="18"/>
      <c r="L19" s="18"/>
      <c r="M19" s="18"/>
      <c r="N19" s="18"/>
      <c r="O19" s="18"/>
      <c r="P19" s="18"/>
      <c r="Q19" s="18"/>
      <c r="R19" s="18"/>
      <c r="S19" s="18"/>
      <c r="T19" s="18"/>
      <c r="U19" s="18"/>
      <c r="V19" s="18"/>
      <c r="W19" s="18"/>
      <c r="X19" s="18"/>
      <c r="Y19" s="18"/>
      <c r="Z19" s="18"/>
    </row>
    <row r="20" spans="1:26" ht="28.5" customHeight="1" x14ac:dyDescent="0.2">
      <c r="A20" s="95"/>
      <c r="B20" s="95"/>
      <c r="C20" s="22" t="s">
        <v>66</v>
      </c>
      <c r="D20" s="142" t="s">
        <v>248</v>
      </c>
      <c r="E20" s="91"/>
      <c r="F20" s="91"/>
      <c r="G20" s="91"/>
      <c r="H20" s="92"/>
      <c r="I20" s="18"/>
      <c r="J20" s="18"/>
      <c r="K20" s="18"/>
      <c r="L20" s="18"/>
      <c r="M20" s="18"/>
      <c r="N20" s="18"/>
      <c r="O20" s="18"/>
      <c r="P20" s="18"/>
      <c r="Q20" s="18"/>
      <c r="R20" s="18"/>
      <c r="S20" s="18"/>
      <c r="T20" s="18"/>
      <c r="U20" s="18"/>
      <c r="V20" s="18"/>
      <c r="W20" s="18"/>
      <c r="X20" s="18"/>
      <c r="Y20" s="18"/>
      <c r="Z20" s="18"/>
    </row>
    <row r="21" spans="1:26" ht="28.5" customHeight="1" x14ac:dyDescent="0.2">
      <c r="A21" s="95"/>
      <c r="B21" s="95"/>
      <c r="C21" s="22" t="s">
        <v>69</v>
      </c>
      <c r="D21" s="142" t="s">
        <v>97</v>
      </c>
      <c r="E21" s="91"/>
      <c r="F21" s="91"/>
      <c r="G21" s="91"/>
      <c r="H21" s="92"/>
      <c r="I21" s="18"/>
      <c r="J21" s="18"/>
      <c r="K21" s="18"/>
      <c r="L21" s="18"/>
      <c r="M21" s="18"/>
      <c r="N21" s="18"/>
      <c r="O21" s="18"/>
      <c r="P21" s="18"/>
      <c r="Q21" s="18"/>
      <c r="R21" s="18"/>
      <c r="S21" s="18"/>
      <c r="T21" s="18"/>
      <c r="U21" s="18"/>
      <c r="V21" s="18"/>
      <c r="W21" s="18"/>
      <c r="X21" s="18"/>
      <c r="Y21" s="18"/>
      <c r="Z21" s="18"/>
    </row>
    <row r="22" spans="1:26" ht="28.5" customHeight="1" x14ac:dyDescent="0.2">
      <c r="A22" s="95"/>
      <c r="B22" s="97"/>
      <c r="C22" s="22" t="s">
        <v>72</v>
      </c>
      <c r="D22" s="142" t="s">
        <v>249</v>
      </c>
      <c r="E22" s="91"/>
      <c r="F22" s="91"/>
      <c r="G22" s="91"/>
      <c r="H22" s="92"/>
      <c r="I22" s="18"/>
      <c r="J22" s="18"/>
      <c r="K22" s="18"/>
      <c r="L22" s="18"/>
      <c r="M22" s="18"/>
      <c r="N22" s="18"/>
      <c r="O22" s="18"/>
      <c r="P22" s="18"/>
      <c r="Q22" s="18"/>
      <c r="R22" s="18"/>
      <c r="S22" s="18"/>
      <c r="T22" s="18"/>
      <c r="U22" s="18"/>
      <c r="V22" s="18"/>
      <c r="W22" s="18"/>
      <c r="X22" s="18"/>
      <c r="Y22" s="18"/>
      <c r="Z22" s="18"/>
    </row>
    <row r="23" spans="1:26" ht="28.5" customHeight="1" x14ac:dyDescent="0.2">
      <c r="A23" s="95"/>
      <c r="B23" s="131" t="s">
        <v>250</v>
      </c>
      <c r="C23" s="22" t="s">
        <v>76</v>
      </c>
      <c r="D23" s="142" t="s">
        <v>251</v>
      </c>
      <c r="E23" s="91"/>
      <c r="F23" s="91"/>
      <c r="G23" s="91"/>
      <c r="H23" s="92"/>
      <c r="I23" s="18"/>
      <c r="J23" s="18"/>
      <c r="K23" s="18"/>
      <c r="L23" s="18"/>
      <c r="M23" s="18"/>
      <c r="N23" s="18"/>
      <c r="O23" s="18"/>
      <c r="P23" s="18"/>
      <c r="Q23" s="18"/>
      <c r="R23" s="18"/>
      <c r="S23" s="18"/>
      <c r="T23" s="18"/>
      <c r="U23" s="18"/>
      <c r="V23" s="18"/>
      <c r="W23" s="18"/>
      <c r="X23" s="18"/>
      <c r="Y23" s="18"/>
      <c r="Z23" s="18"/>
    </row>
    <row r="24" spans="1:26" ht="28.5" customHeight="1" x14ac:dyDescent="0.2">
      <c r="A24" s="95"/>
      <c r="B24" s="95"/>
      <c r="C24" s="22" t="s">
        <v>78</v>
      </c>
      <c r="D24" s="142" t="s">
        <v>252</v>
      </c>
      <c r="E24" s="91"/>
      <c r="F24" s="91"/>
      <c r="G24" s="91"/>
      <c r="H24" s="92"/>
      <c r="I24" s="18"/>
      <c r="J24" s="18"/>
      <c r="K24" s="18"/>
      <c r="L24" s="18"/>
      <c r="M24" s="18"/>
      <c r="N24" s="18"/>
      <c r="O24" s="18"/>
      <c r="P24" s="18"/>
      <c r="Q24" s="18"/>
      <c r="R24" s="18"/>
      <c r="S24" s="18"/>
      <c r="T24" s="18"/>
      <c r="U24" s="18"/>
      <c r="V24" s="18"/>
      <c r="W24" s="18"/>
      <c r="X24" s="18"/>
      <c r="Y24" s="18"/>
      <c r="Z24" s="18"/>
    </row>
    <row r="25" spans="1:26" ht="28.5" customHeight="1" x14ac:dyDescent="0.2">
      <c r="A25" s="95"/>
      <c r="B25" s="95"/>
      <c r="C25" s="22" t="s">
        <v>81</v>
      </c>
      <c r="D25" s="142" t="s">
        <v>253</v>
      </c>
      <c r="E25" s="91"/>
      <c r="F25" s="91"/>
      <c r="G25" s="91"/>
      <c r="H25" s="92"/>
      <c r="I25" s="18"/>
      <c r="J25" s="18"/>
      <c r="K25" s="18"/>
      <c r="L25" s="18"/>
      <c r="M25" s="18"/>
      <c r="N25" s="18"/>
      <c r="O25" s="18"/>
      <c r="P25" s="18"/>
      <c r="Q25" s="18"/>
      <c r="R25" s="18"/>
      <c r="S25" s="18"/>
      <c r="T25" s="18"/>
      <c r="U25" s="18"/>
      <c r="V25" s="18"/>
      <c r="W25" s="18"/>
      <c r="X25" s="18"/>
      <c r="Y25" s="18"/>
      <c r="Z25" s="18"/>
    </row>
    <row r="26" spans="1:26" ht="28.5" customHeight="1" x14ac:dyDescent="0.2">
      <c r="A26" s="95"/>
      <c r="B26" s="95"/>
      <c r="C26" s="22" t="s">
        <v>85</v>
      </c>
      <c r="D26" s="142" t="s">
        <v>254</v>
      </c>
      <c r="E26" s="91"/>
      <c r="F26" s="91"/>
      <c r="G26" s="91"/>
      <c r="H26" s="92"/>
      <c r="I26" s="18"/>
      <c r="J26" s="18"/>
      <c r="K26" s="18"/>
      <c r="L26" s="18"/>
      <c r="M26" s="18"/>
      <c r="N26" s="18"/>
      <c r="O26" s="18"/>
      <c r="P26" s="18"/>
      <c r="Q26" s="18"/>
      <c r="R26" s="18"/>
      <c r="S26" s="18"/>
      <c r="T26" s="18"/>
      <c r="U26" s="18"/>
      <c r="V26" s="18"/>
      <c r="W26" s="18"/>
      <c r="X26" s="18"/>
      <c r="Y26" s="18"/>
      <c r="Z26" s="18"/>
    </row>
    <row r="27" spans="1:26" ht="28.5" customHeight="1" x14ac:dyDescent="0.2">
      <c r="A27" s="95"/>
      <c r="B27" s="97"/>
      <c r="C27" s="22" t="s">
        <v>87</v>
      </c>
      <c r="D27" s="142" t="s">
        <v>255</v>
      </c>
      <c r="E27" s="91"/>
      <c r="F27" s="91"/>
      <c r="G27" s="91"/>
      <c r="H27" s="92"/>
      <c r="I27" s="18"/>
      <c r="J27" s="18"/>
      <c r="K27" s="18"/>
      <c r="L27" s="18"/>
      <c r="M27" s="18"/>
      <c r="N27" s="18"/>
      <c r="O27" s="18"/>
      <c r="P27" s="18"/>
      <c r="Q27" s="18"/>
      <c r="R27" s="18"/>
      <c r="S27" s="18"/>
      <c r="T27" s="18"/>
      <c r="U27" s="18"/>
      <c r="V27" s="18"/>
      <c r="W27" s="18"/>
      <c r="X27" s="18"/>
      <c r="Y27" s="18"/>
      <c r="Z27" s="18"/>
    </row>
    <row r="28" spans="1:26" ht="28.5" customHeight="1" x14ac:dyDescent="0.2">
      <c r="A28" s="95"/>
      <c r="B28" s="131" t="s">
        <v>256</v>
      </c>
      <c r="C28" s="22" t="s">
        <v>92</v>
      </c>
      <c r="D28" s="142" t="s">
        <v>257</v>
      </c>
      <c r="E28" s="91"/>
      <c r="F28" s="91"/>
      <c r="G28" s="91"/>
      <c r="H28" s="92"/>
      <c r="I28" s="18"/>
      <c r="J28" s="18"/>
      <c r="K28" s="18"/>
      <c r="L28" s="18"/>
      <c r="M28" s="18"/>
      <c r="N28" s="18"/>
      <c r="O28" s="18"/>
      <c r="P28" s="18"/>
      <c r="Q28" s="18"/>
      <c r="R28" s="18"/>
      <c r="S28" s="18"/>
      <c r="T28" s="18"/>
      <c r="U28" s="18"/>
      <c r="V28" s="18"/>
      <c r="W28" s="18"/>
      <c r="X28" s="18"/>
      <c r="Y28" s="18"/>
      <c r="Z28" s="18"/>
    </row>
    <row r="29" spans="1:26" ht="28.5" customHeight="1" x14ac:dyDescent="0.2">
      <c r="A29" s="95"/>
      <c r="B29" s="95"/>
      <c r="C29" s="22" t="s">
        <v>95</v>
      </c>
      <c r="D29" s="142" t="s">
        <v>258</v>
      </c>
      <c r="E29" s="91"/>
      <c r="F29" s="91"/>
      <c r="G29" s="91"/>
      <c r="H29" s="92"/>
      <c r="I29" s="18"/>
      <c r="J29" s="18"/>
      <c r="K29" s="18"/>
      <c r="L29" s="18"/>
      <c r="M29" s="18"/>
      <c r="N29" s="18"/>
      <c r="O29" s="18"/>
      <c r="P29" s="18"/>
      <c r="Q29" s="18"/>
      <c r="R29" s="18"/>
      <c r="S29" s="18"/>
      <c r="T29" s="18"/>
      <c r="U29" s="18"/>
      <c r="V29" s="18"/>
      <c r="W29" s="18"/>
      <c r="X29" s="18"/>
      <c r="Y29" s="18"/>
      <c r="Z29" s="18"/>
    </row>
    <row r="30" spans="1:26" ht="28.5" customHeight="1" x14ac:dyDescent="0.2">
      <c r="A30" s="95"/>
      <c r="B30" s="95"/>
      <c r="C30" s="22" t="s">
        <v>98</v>
      </c>
      <c r="D30" s="142" t="s">
        <v>259</v>
      </c>
      <c r="E30" s="91"/>
      <c r="F30" s="91"/>
      <c r="G30" s="91"/>
      <c r="H30" s="92"/>
      <c r="I30" s="18"/>
      <c r="J30" s="18"/>
      <c r="K30" s="18"/>
      <c r="L30" s="18"/>
      <c r="M30" s="18"/>
      <c r="N30" s="18"/>
      <c r="O30" s="18"/>
      <c r="P30" s="18"/>
      <c r="Q30" s="18"/>
      <c r="R30" s="18"/>
      <c r="S30" s="18"/>
      <c r="T30" s="18"/>
      <c r="U30" s="18"/>
      <c r="V30" s="18"/>
      <c r="W30" s="18"/>
      <c r="X30" s="18"/>
      <c r="Y30" s="18"/>
      <c r="Z30" s="18"/>
    </row>
    <row r="31" spans="1:26" ht="28.5" customHeight="1" x14ac:dyDescent="0.2">
      <c r="A31" s="95"/>
      <c r="B31" s="95"/>
      <c r="C31" s="22" t="s">
        <v>101</v>
      </c>
      <c r="D31" s="142" t="s">
        <v>260</v>
      </c>
      <c r="E31" s="91"/>
      <c r="F31" s="91"/>
      <c r="G31" s="91"/>
      <c r="H31" s="92"/>
      <c r="I31" s="18"/>
      <c r="J31" s="18"/>
      <c r="K31" s="18"/>
      <c r="L31" s="18"/>
      <c r="M31" s="18"/>
      <c r="N31" s="18"/>
      <c r="O31" s="18"/>
      <c r="P31" s="18"/>
      <c r="Q31" s="18"/>
      <c r="R31" s="18"/>
      <c r="S31" s="18"/>
      <c r="T31" s="18"/>
      <c r="U31" s="18"/>
      <c r="V31" s="18"/>
      <c r="W31" s="18"/>
      <c r="X31" s="18"/>
      <c r="Y31" s="18"/>
      <c r="Z31" s="18"/>
    </row>
    <row r="32" spans="1:26" ht="28.5" customHeight="1" x14ac:dyDescent="0.2">
      <c r="A32" s="95"/>
      <c r="B32" s="97"/>
      <c r="C32" s="22" t="s">
        <v>104</v>
      </c>
      <c r="D32" s="142" t="s">
        <v>261</v>
      </c>
      <c r="E32" s="91"/>
      <c r="F32" s="91"/>
      <c r="G32" s="91"/>
      <c r="H32" s="92"/>
      <c r="I32" s="18"/>
      <c r="J32" s="18"/>
      <c r="K32" s="18"/>
      <c r="L32" s="18"/>
      <c r="M32" s="18"/>
      <c r="N32" s="18"/>
      <c r="O32" s="18"/>
      <c r="P32" s="18"/>
      <c r="Q32" s="18"/>
      <c r="R32" s="18"/>
      <c r="S32" s="18"/>
      <c r="T32" s="18"/>
      <c r="U32" s="18"/>
      <c r="V32" s="18"/>
      <c r="W32" s="18"/>
      <c r="X32" s="18"/>
      <c r="Y32" s="18"/>
      <c r="Z32" s="18"/>
    </row>
    <row r="33" spans="1:26" ht="28.5" customHeight="1" x14ac:dyDescent="0.2">
      <c r="A33" s="95"/>
      <c r="B33" s="131" t="s">
        <v>262</v>
      </c>
      <c r="C33" s="22" t="s">
        <v>108</v>
      </c>
      <c r="D33" s="142" t="s">
        <v>263</v>
      </c>
      <c r="E33" s="91"/>
      <c r="F33" s="91"/>
      <c r="G33" s="91"/>
      <c r="H33" s="92"/>
      <c r="I33" s="18"/>
      <c r="J33" s="18"/>
      <c r="K33" s="18"/>
      <c r="L33" s="18"/>
      <c r="M33" s="18"/>
      <c r="N33" s="18"/>
      <c r="O33" s="18"/>
      <c r="P33" s="18"/>
      <c r="Q33" s="18"/>
      <c r="R33" s="18"/>
      <c r="S33" s="18"/>
      <c r="T33" s="18"/>
      <c r="U33" s="18"/>
      <c r="V33" s="18"/>
      <c r="W33" s="18"/>
      <c r="X33" s="18"/>
      <c r="Y33" s="18"/>
      <c r="Z33" s="18"/>
    </row>
    <row r="34" spans="1:26" ht="28.5" customHeight="1" x14ac:dyDescent="0.2">
      <c r="A34" s="95"/>
      <c r="B34" s="95"/>
      <c r="C34" s="22" t="s">
        <v>111</v>
      </c>
      <c r="D34" s="142" t="s">
        <v>264</v>
      </c>
      <c r="E34" s="91"/>
      <c r="F34" s="91"/>
      <c r="G34" s="91"/>
      <c r="H34" s="92"/>
      <c r="I34" s="18"/>
      <c r="J34" s="18"/>
      <c r="K34" s="18"/>
      <c r="L34" s="18"/>
      <c r="M34" s="18"/>
      <c r="N34" s="18"/>
      <c r="O34" s="18"/>
      <c r="P34" s="18"/>
      <c r="Q34" s="18"/>
      <c r="R34" s="18"/>
      <c r="S34" s="18"/>
      <c r="T34" s="18"/>
      <c r="U34" s="18"/>
      <c r="V34" s="18"/>
      <c r="W34" s="18"/>
      <c r="X34" s="18"/>
      <c r="Y34" s="18"/>
      <c r="Z34" s="18"/>
    </row>
    <row r="35" spans="1:26" ht="28.5" customHeight="1" x14ac:dyDescent="0.2">
      <c r="A35" s="95"/>
      <c r="B35" s="95"/>
      <c r="C35" s="22" t="s">
        <v>113</v>
      </c>
      <c r="D35" s="142" t="s">
        <v>265</v>
      </c>
      <c r="E35" s="91"/>
      <c r="F35" s="91"/>
      <c r="G35" s="91"/>
      <c r="H35" s="92"/>
      <c r="I35" s="18"/>
      <c r="J35" s="18"/>
      <c r="K35" s="18"/>
      <c r="L35" s="18"/>
      <c r="M35" s="18"/>
      <c r="N35" s="18"/>
      <c r="O35" s="18"/>
      <c r="P35" s="18"/>
      <c r="Q35" s="18"/>
      <c r="R35" s="18"/>
      <c r="S35" s="18"/>
      <c r="T35" s="18"/>
      <c r="U35" s="18"/>
      <c r="V35" s="18"/>
      <c r="W35" s="18"/>
      <c r="X35" s="18"/>
      <c r="Y35" s="18"/>
      <c r="Z35" s="18"/>
    </row>
    <row r="36" spans="1:26" ht="28.5" customHeight="1" x14ac:dyDescent="0.2">
      <c r="A36" s="95"/>
      <c r="B36" s="95"/>
      <c r="C36" s="22" t="s">
        <v>116</v>
      </c>
      <c r="D36" s="142" t="s">
        <v>266</v>
      </c>
      <c r="E36" s="91"/>
      <c r="F36" s="91"/>
      <c r="G36" s="91"/>
      <c r="H36" s="92"/>
      <c r="I36" s="18"/>
      <c r="J36" s="18"/>
      <c r="K36" s="18"/>
      <c r="L36" s="18"/>
      <c r="M36" s="18"/>
      <c r="N36" s="18"/>
      <c r="O36" s="18"/>
      <c r="P36" s="18"/>
      <c r="Q36" s="18"/>
      <c r="R36" s="18"/>
      <c r="S36" s="18"/>
      <c r="T36" s="18"/>
      <c r="U36" s="18"/>
      <c r="V36" s="18"/>
      <c r="W36" s="18"/>
      <c r="X36" s="18"/>
      <c r="Y36" s="18"/>
      <c r="Z36" s="18"/>
    </row>
    <row r="37" spans="1:26" ht="28.5" customHeight="1" x14ac:dyDescent="0.2">
      <c r="A37" s="96"/>
      <c r="B37" s="97"/>
      <c r="C37" s="22" t="s">
        <v>119</v>
      </c>
      <c r="D37" s="142" t="s">
        <v>146</v>
      </c>
      <c r="E37" s="91"/>
      <c r="F37" s="91"/>
      <c r="G37" s="91"/>
      <c r="H37" s="92"/>
      <c r="I37" s="18"/>
      <c r="J37" s="18"/>
      <c r="K37" s="18"/>
      <c r="L37" s="18"/>
      <c r="M37" s="18"/>
      <c r="N37" s="18"/>
      <c r="O37" s="18"/>
      <c r="P37" s="18"/>
      <c r="Q37" s="18"/>
      <c r="R37" s="18"/>
      <c r="S37" s="18"/>
      <c r="T37" s="18"/>
      <c r="U37" s="18"/>
      <c r="V37" s="18"/>
      <c r="W37" s="18"/>
      <c r="X37" s="18"/>
      <c r="Y37" s="18"/>
      <c r="Z37" s="18"/>
    </row>
    <row r="38" spans="1:26" ht="53.25" customHeight="1" x14ac:dyDescent="0.2">
      <c r="A38" s="26" t="s">
        <v>122</v>
      </c>
      <c r="B38" s="143" t="s">
        <v>267</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268</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269</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270</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38.25" customHeight="1" x14ac:dyDescent="0.2">
      <c r="A42" s="26" t="s">
        <v>140</v>
      </c>
      <c r="B42" s="152" t="s">
        <v>271</v>
      </c>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27.75" customHeight="1" x14ac:dyDescent="0.2">
      <c r="A43" s="30" t="s">
        <v>144</v>
      </c>
      <c r="B43" s="153" t="s">
        <v>272</v>
      </c>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15.75" customHeight="1" x14ac:dyDescent="0.2">
      <c r="A44" s="30" t="s">
        <v>147</v>
      </c>
      <c r="B44" s="153" t="s">
        <v>273</v>
      </c>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15.75" customHeight="1" x14ac:dyDescent="0.2">
      <c r="A45" s="30" t="s">
        <v>150</v>
      </c>
      <c r="B45" s="153" t="s">
        <v>274</v>
      </c>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60" customHeight="1"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64.5" customHeight="1" x14ac:dyDescent="0.2">
      <c r="A47" s="95"/>
      <c r="B47" s="32" t="s">
        <v>154</v>
      </c>
      <c r="C47" s="145"/>
      <c r="D47" s="91"/>
      <c r="E47" s="91"/>
      <c r="F47" s="91"/>
      <c r="G47" s="91"/>
      <c r="H47" s="92"/>
      <c r="I47" s="18"/>
      <c r="J47" s="18"/>
      <c r="K47" s="18"/>
      <c r="L47" s="18"/>
      <c r="M47" s="18"/>
      <c r="N47" s="18"/>
      <c r="O47" s="18"/>
      <c r="P47" s="18"/>
      <c r="Q47" s="18"/>
      <c r="R47" s="18"/>
      <c r="S47" s="18"/>
      <c r="T47" s="18"/>
      <c r="U47" s="18"/>
      <c r="V47" s="18"/>
      <c r="W47" s="18"/>
      <c r="X47" s="18"/>
      <c r="Y47" s="18"/>
      <c r="Z47" s="18"/>
    </row>
    <row r="48" spans="1:26" ht="39.75" customHeight="1"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156</v>
      </c>
      <c r="B49" s="155" t="s">
        <v>158</v>
      </c>
      <c r="C49" s="146" t="s">
        <v>159</v>
      </c>
      <c r="D49" s="92"/>
      <c r="E49" s="147" t="s">
        <v>161</v>
      </c>
      <c r="F49" s="148" t="s">
        <v>162</v>
      </c>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v>46241</v>
      </c>
      <c r="D50" s="92"/>
      <c r="E50" s="97"/>
      <c r="F50" s="114"/>
      <c r="G50" s="134"/>
      <c r="H50" s="37">
        <v>46241</v>
      </c>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t="s">
        <v>179</v>
      </c>
      <c r="D53" s="91"/>
      <c r="E53" s="91"/>
      <c r="F53" s="92"/>
      <c r="G53" s="43" t="s">
        <v>180</v>
      </c>
      <c r="H53" s="37">
        <v>46241</v>
      </c>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51"/>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D37:H37"/>
    <mergeCell ref="B38:H38"/>
    <mergeCell ref="C39:H39"/>
    <mergeCell ref="C40:H40"/>
    <mergeCell ref="C41:H41"/>
    <mergeCell ref="D32:H32"/>
    <mergeCell ref="D33:H33"/>
    <mergeCell ref="D34:H34"/>
    <mergeCell ref="D35:H35"/>
    <mergeCell ref="D36:H36"/>
    <mergeCell ref="D27:H27"/>
    <mergeCell ref="D28:H28"/>
    <mergeCell ref="D29:H29"/>
    <mergeCell ref="D30:H30"/>
    <mergeCell ref="D31:H31"/>
    <mergeCell ref="D22:H22"/>
    <mergeCell ref="D23:H23"/>
    <mergeCell ref="D24:H24"/>
    <mergeCell ref="D25:H25"/>
    <mergeCell ref="D26:H26"/>
    <mergeCell ref="D17:H17"/>
    <mergeCell ref="D18:H18"/>
    <mergeCell ref="D19:H19"/>
    <mergeCell ref="D20:H20"/>
    <mergeCell ref="D21:H21"/>
    <mergeCell ref="B12:H12"/>
    <mergeCell ref="D13:H13"/>
    <mergeCell ref="D14:H14"/>
    <mergeCell ref="D15:H15"/>
    <mergeCell ref="D16:H16"/>
    <mergeCell ref="A51:H51"/>
    <mergeCell ref="C52:F52"/>
    <mergeCell ref="C53:F53"/>
    <mergeCell ref="A1:B2"/>
    <mergeCell ref="C1:G1"/>
    <mergeCell ref="H1:H2"/>
    <mergeCell ref="C2:G2"/>
    <mergeCell ref="B3:H3"/>
    <mergeCell ref="B4:F4"/>
    <mergeCell ref="B5:F5"/>
    <mergeCell ref="B6:H6"/>
    <mergeCell ref="B7:H7"/>
    <mergeCell ref="B8:H8"/>
    <mergeCell ref="B9:H9"/>
    <mergeCell ref="B10:H10"/>
    <mergeCell ref="B11:H11"/>
    <mergeCell ref="A39:A41"/>
    <mergeCell ref="A46:A48"/>
    <mergeCell ref="A49:A50"/>
    <mergeCell ref="B49:B50"/>
    <mergeCell ref="C48:H48"/>
    <mergeCell ref="C49:D49"/>
    <mergeCell ref="E49:E50"/>
    <mergeCell ref="F49:G50"/>
    <mergeCell ref="C50:D50"/>
    <mergeCell ref="B42:H42"/>
    <mergeCell ref="B43:H43"/>
    <mergeCell ref="B44:H44"/>
    <mergeCell ref="B45:H45"/>
    <mergeCell ref="C46:H46"/>
    <mergeCell ref="C47:H47"/>
    <mergeCell ref="A13:A37"/>
    <mergeCell ref="B13:B17"/>
    <mergeCell ref="B18:B22"/>
    <mergeCell ref="B23:B27"/>
    <mergeCell ref="B28:B32"/>
    <mergeCell ref="B33:B37"/>
  </mergeCells>
  <pageMargins left="0.7" right="0.7" top="0.75" bottom="0.75" header="0" footer="0"/>
  <pageSetup orientation="landscape"/>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showGridLines="0" topLeftCell="A3" workbookViewId="0">
      <selection sqref="A1:C3"/>
    </sheetView>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1" customWidth="1"/>
    <col min="6" max="6" width="18.7109375" customWidth="1"/>
    <col min="7" max="8" width="10.7109375" customWidth="1"/>
    <col min="9" max="26" width="10.5703125" customWidth="1"/>
  </cols>
  <sheetData>
    <row r="1" spans="1:9" ht="12.75" customHeight="1" x14ac:dyDescent="0.2">
      <c r="A1" s="132"/>
      <c r="B1" s="111"/>
      <c r="C1" s="133"/>
      <c r="D1" s="135" t="s">
        <v>0</v>
      </c>
      <c r="E1" s="111"/>
      <c r="F1" s="111"/>
      <c r="G1" s="111"/>
      <c r="H1" s="132"/>
      <c r="I1" s="133"/>
    </row>
    <row r="2" spans="1:9" ht="12.75" customHeight="1" x14ac:dyDescent="0.2">
      <c r="A2" s="112"/>
      <c r="B2" s="113"/>
      <c r="C2" s="157"/>
      <c r="D2" s="137" t="s">
        <v>2</v>
      </c>
      <c r="E2" s="91"/>
      <c r="F2" s="91"/>
      <c r="G2" s="91"/>
      <c r="H2" s="112"/>
      <c r="I2" s="157"/>
    </row>
    <row r="3" spans="1:9" ht="30" customHeight="1" x14ac:dyDescent="0.2">
      <c r="A3" s="114"/>
      <c r="B3" s="115"/>
      <c r="C3" s="134"/>
      <c r="D3" s="137" t="s">
        <v>3</v>
      </c>
      <c r="E3" s="91"/>
      <c r="F3" s="91"/>
      <c r="G3" s="92"/>
      <c r="H3" s="114"/>
      <c r="I3" s="134"/>
    </row>
    <row r="4" spans="1:9" ht="12.75" customHeight="1" x14ac:dyDescent="0.2">
      <c r="A4" s="2"/>
      <c r="B4" s="138" t="str">
        <f>+'MODULO 4'!B3:H3</f>
        <v>Código: CEC-RCYC-02;Revisión: 02</v>
      </c>
      <c r="C4" s="111"/>
      <c r="D4" s="111"/>
      <c r="E4" s="111"/>
      <c r="F4" s="111"/>
      <c r="G4" s="111"/>
      <c r="H4" s="111"/>
      <c r="I4" s="111"/>
    </row>
    <row r="5" spans="1:9" ht="12.75" customHeight="1" x14ac:dyDescent="0.2">
      <c r="A5" s="6" t="s">
        <v>7</v>
      </c>
      <c r="B5" s="162" t="str">
        <f>+'RESUMEN DIPLOMADO'!D3</f>
        <v>DIPLOMADO EN BIG DATA E INTELIGENCIA ARTIFICIAL</v>
      </c>
      <c r="C5" s="91"/>
      <c r="D5" s="91"/>
      <c r="E5" s="91"/>
      <c r="F5" s="92"/>
      <c r="G5" s="9" t="s">
        <v>9</v>
      </c>
      <c r="H5" s="158" t="str">
        <f>+'RESUMEN DIPLOMADO'!M3</f>
        <v>150 horas
120 horas sincrónicas y
30 horas asincrónicas</v>
      </c>
      <c r="I5" s="92"/>
    </row>
    <row r="6" spans="1:9" ht="12.75" customHeight="1" x14ac:dyDescent="0.2">
      <c r="A6" s="6" t="s">
        <v>12</v>
      </c>
      <c r="B6" s="163" t="str">
        <f>+'MODULO 4'!B5:F5</f>
        <v>MÓDULO 4. IA PARA AUTOMATIZACIÓN Y RECOLECCIÓN DE DATOS</v>
      </c>
      <c r="C6" s="115"/>
      <c r="D6" s="115"/>
      <c r="E6" s="115"/>
      <c r="F6" s="134"/>
      <c r="G6" s="9" t="s">
        <v>9</v>
      </c>
      <c r="H6" s="176" t="str">
        <f>+'MODULO 4'!H5</f>
        <v>25 horas
(20 horas sincrónicas y 5 horas asincrónicas)</v>
      </c>
      <c r="I6" s="92"/>
    </row>
    <row r="7" spans="1:9" ht="30.75" customHeight="1" x14ac:dyDescent="0.2">
      <c r="A7" s="15" t="s">
        <v>18</v>
      </c>
      <c r="B7" s="165" t="s">
        <v>20</v>
      </c>
      <c r="C7" s="91"/>
      <c r="D7" s="91"/>
      <c r="E7" s="91"/>
      <c r="F7" s="91"/>
      <c r="G7" s="91"/>
      <c r="H7" s="91"/>
      <c r="I7" s="92"/>
    </row>
    <row r="8" spans="1:9" ht="33.75" customHeight="1" x14ac:dyDescent="0.2">
      <c r="A8" s="15" t="s">
        <v>23</v>
      </c>
      <c r="B8" s="165" t="str">
        <f>+'MODULO 4'!B11:H11</f>
        <v>Automatizar procesos de recolección y procesamiento de datos mediante herramientas de IA y programación en contextos analíticos institucionales, para optimizar generación de información económica.</v>
      </c>
      <c r="C8" s="91"/>
      <c r="D8" s="91"/>
      <c r="E8" s="91"/>
      <c r="F8" s="91"/>
      <c r="G8" s="91"/>
      <c r="H8" s="91"/>
      <c r="I8" s="92"/>
    </row>
    <row r="9" spans="1:9" ht="51.75" customHeight="1" x14ac:dyDescent="0.2">
      <c r="A9" s="15" t="s">
        <v>30</v>
      </c>
      <c r="B9" s="165" t="str">
        <f>+'MODULO 4'!B12:H12</f>
        <v>U1. Implementar técnicas de web scraping mediante programación en plataformas web para automatizar captura de información.
U2. Utilizar APIs mediante herramientas tecnológicas en análisis económicos para integrar fuentes de datos.
U3. Automatizar procesos analíticos mediante scripts y flujos de trabajo en escenarios institucionales para optimizar productividad.
U4. Aplicar agentes inteligentes mediante herramientas de IA en procesos de datos para mejorar eficiencia operativa.
U5. Desarrollar soluciones automatizadas mediante casos prácticos institucionales para fortalecer análisis económico.</v>
      </c>
      <c r="C9" s="91"/>
      <c r="D9" s="91"/>
      <c r="E9" s="91"/>
      <c r="F9" s="91"/>
      <c r="G9" s="91"/>
      <c r="H9" s="91"/>
      <c r="I9" s="92"/>
    </row>
    <row r="10" spans="1:9" ht="12.75" customHeight="1" x14ac:dyDescent="0.2">
      <c r="A10" s="166" t="str">
        <f>+'MODULO 4'!B13</f>
        <v>Unidad 1. Web Scraping (5 horas)</v>
      </c>
      <c r="B10" s="20" t="s">
        <v>36</v>
      </c>
      <c r="C10" s="20" t="s">
        <v>37</v>
      </c>
      <c r="D10" s="159" t="s">
        <v>41</v>
      </c>
      <c r="E10" s="91"/>
      <c r="F10" s="92"/>
      <c r="G10" s="159" t="s">
        <v>43</v>
      </c>
      <c r="H10" s="92"/>
      <c r="I10" s="20" t="s">
        <v>44</v>
      </c>
    </row>
    <row r="11" spans="1:9" ht="15" customHeight="1" x14ac:dyDescent="0.2">
      <c r="A11" s="95"/>
      <c r="B11" s="20">
        <v>1</v>
      </c>
      <c r="C11" s="21"/>
      <c r="D11" s="23" t="s">
        <v>47</v>
      </c>
      <c r="E11" s="160" t="str">
        <f>+'MODULO 4'!D13</f>
        <v>Introducción al scraping.</v>
      </c>
      <c r="F11" s="92"/>
      <c r="G11" s="179"/>
      <c r="H11" s="92"/>
      <c r="I11" s="66"/>
    </row>
    <row r="12" spans="1:9" ht="15" customHeight="1" x14ac:dyDescent="0.2">
      <c r="A12" s="95"/>
      <c r="B12" s="20">
        <v>2</v>
      </c>
      <c r="C12" s="20"/>
      <c r="D12" s="23" t="s">
        <v>49</v>
      </c>
      <c r="E12" s="160" t="str">
        <f>+'MODULO 4'!D14</f>
        <v>BeautifulSoup.</v>
      </c>
      <c r="F12" s="92"/>
      <c r="G12" s="179"/>
      <c r="H12" s="92"/>
      <c r="I12" s="66"/>
    </row>
    <row r="13" spans="1:9" ht="15" customHeight="1" x14ac:dyDescent="0.2">
      <c r="A13" s="95"/>
      <c r="B13" s="20">
        <v>3</v>
      </c>
      <c r="C13" s="20"/>
      <c r="D13" s="23" t="s">
        <v>52</v>
      </c>
      <c r="E13" s="167" t="str">
        <f>+'MODULO 4'!D15</f>
        <v>Selenium.</v>
      </c>
      <c r="F13" s="92"/>
      <c r="G13" s="179"/>
      <c r="H13" s="92"/>
      <c r="I13" s="66"/>
    </row>
    <row r="14" spans="1:9" ht="15" customHeight="1" x14ac:dyDescent="0.2">
      <c r="A14" s="95"/>
      <c r="B14" s="20"/>
      <c r="C14" s="20"/>
      <c r="D14" s="23" t="s">
        <v>55</v>
      </c>
      <c r="E14" s="167" t="str">
        <f>+'MODULO 4'!D16</f>
        <v>Extracción de tablas.</v>
      </c>
      <c r="F14" s="92"/>
      <c r="G14" s="179"/>
      <c r="H14" s="92"/>
      <c r="I14" s="66"/>
    </row>
    <row r="15" spans="1:9" ht="15" customHeight="1" x14ac:dyDescent="0.2">
      <c r="A15" s="96"/>
      <c r="B15" s="20"/>
      <c r="C15" s="20"/>
      <c r="D15" s="23" t="s">
        <v>57</v>
      </c>
      <c r="E15" s="167" t="str">
        <f>+'MODULO 4'!D17</f>
        <v>Automatización web.</v>
      </c>
      <c r="F15" s="92"/>
      <c r="G15" s="161"/>
      <c r="H15" s="92"/>
      <c r="I15" s="66"/>
    </row>
    <row r="16" spans="1:9" ht="15" customHeight="1" x14ac:dyDescent="0.2">
      <c r="A16" s="166" t="str">
        <f>+'MODULO 4'!B18</f>
        <v>Unidad 2. APIs y Datos Abiertos (5 horas)</v>
      </c>
      <c r="B16" s="20"/>
      <c r="C16" s="20"/>
      <c r="D16" s="23" t="s">
        <v>61</v>
      </c>
      <c r="E16" s="167" t="str">
        <f>+'MODULO 4'!D18</f>
        <v>APIs REST.</v>
      </c>
      <c r="F16" s="92"/>
      <c r="G16" s="161"/>
      <c r="H16" s="92"/>
      <c r="I16" s="66"/>
    </row>
    <row r="17" spans="1:9" ht="15" customHeight="1" x14ac:dyDescent="0.2">
      <c r="A17" s="95"/>
      <c r="B17" s="20"/>
      <c r="C17" s="20"/>
      <c r="D17" s="23" t="s">
        <v>64</v>
      </c>
      <c r="E17" s="167" t="str">
        <f>+'MODULO 4'!D19</f>
        <v>Consumo de APIs.</v>
      </c>
      <c r="F17" s="92"/>
      <c r="G17" s="161"/>
      <c r="H17" s="92"/>
      <c r="I17" s="66"/>
    </row>
    <row r="18" spans="1:9" ht="15" customHeight="1" x14ac:dyDescent="0.2">
      <c r="A18" s="95"/>
      <c r="B18" s="20"/>
      <c r="C18" s="20"/>
      <c r="D18" s="23" t="s">
        <v>66</v>
      </c>
      <c r="E18" s="167" t="str">
        <f>+'MODULO 4'!D20</f>
        <v>Datos abiertos.</v>
      </c>
      <c r="F18" s="92"/>
      <c r="G18" s="161"/>
      <c r="H18" s="92"/>
      <c r="I18" s="66"/>
    </row>
    <row r="19" spans="1:9" ht="15" customHeight="1" x14ac:dyDescent="0.2">
      <c r="A19" s="95"/>
      <c r="B19" s="20"/>
      <c r="C19" s="20"/>
      <c r="D19" s="23" t="s">
        <v>69</v>
      </c>
      <c r="E19" s="167" t="str">
        <f>+'MODULO 4'!D21</f>
        <v>Integración de fuentes.</v>
      </c>
      <c r="F19" s="92"/>
      <c r="G19" s="161"/>
      <c r="H19" s="92"/>
      <c r="I19" s="66"/>
    </row>
    <row r="20" spans="1:9" ht="15" customHeight="1" x14ac:dyDescent="0.2">
      <c r="A20" s="96"/>
      <c r="B20" s="20"/>
      <c r="C20" s="20"/>
      <c r="D20" s="23" t="s">
        <v>72</v>
      </c>
      <c r="E20" s="167" t="str">
        <f>+'MODULO 4'!D22</f>
        <v>Automatización de consultas.</v>
      </c>
      <c r="F20" s="92"/>
      <c r="G20" s="161"/>
      <c r="H20" s="92"/>
      <c r="I20" s="66"/>
    </row>
    <row r="21" spans="1:9" ht="15" customHeight="1" x14ac:dyDescent="0.2">
      <c r="A21" s="166" t="str">
        <f>+'MODULO 4'!B23</f>
        <v>Unidad 3. Automatización de Procesos (5 horas)</v>
      </c>
      <c r="B21" s="20"/>
      <c r="C21" s="20"/>
      <c r="D21" s="23" t="s">
        <v>76</v>
      </c>
      <c r="E21" s="167" t="str">
        <f>+'MODULO 4'!D23</f>
        <v>Scripts automatizados.</v>
      </c>
      <c r="F21" s="92"/>
      <c r="G21" s="161"/>
      <c r="H21" s="92"/>
      <c r="I21" s="66"/>
    </row>
    <row r="22" spans="1:9" ht="15" customHeight="1" x14ac:dyDescent="0.2">
      <c r="A22" s="95"/>
      <c r="B22" s="20"/>
      <c r="C22" s="20"/>
      <c r="D22" s="23" t="s">
        <v>78</v>
      </c>
      <c r="E22" s="167" t="str">
        <f>+'MODULO 4'!D24</f>
        <v>Programación de tareas.</v>
      </c>
      <c r="F22" s="92"/>
      <c r="G22" s="161"/>
      <c r="H22" s="92"/>
      <c r="I22" s="66"/>
    </row>
    <row r="23" spans="1:9" ht="15" customHeight="1" x14ac:dyDescent="0.2">
      <c r="A23" s="95"/>
      <c r="B23" s="20"/>
      <c r="C23" s="20"/>
      <c r="D23" s="23" t="s">
        <v>81</v>
      </c>
      <c r="E23" s="167" t="str">
        <f>+'MODULO 4'!D25</f>
        <v>Flujos ETL.</v>
      </c>
      <c r="F23" s="92"/>
      <c r="G23" s="161"/>
      <c r="H23" s="92"/>
      <c r="I23" s="66"/>
    </row>
    <row r="24" spans="1:9" ht="15" customHeight="1" x14ac:dyDescent="0.2">
      <c r="A24" s="95"/>
      <c r="B24" s="20"/>
      <c r="C24" s="20"/>
      <c r="D24" s="23" t="s">
        <v>85</v>
      </c>
      <c r="E24" s="167" t="str">
        <f>+'MODULO 4'!D26</f>
        <v>Automatización de reportes.</v>
      </c>
      <c r="F24" s="92"/>
      <c r="G24" s="161"/>
      <c r="H24" s="92"/>
      <c r="I24" s="66"/>
    </row>
    <row r="25" spans="1:9" ht="15" customHeight="1" x14ac:dyDescent="0.2">
      <c r="A25" s="96"/>
      <c r="B25" s="20"/>
      <c r="C25" s="20"/>
      <c r="D25" s="23" t="s">
        <v>87</v>
      </c>
      <c r="E25" s="167" t="str">
        <f>+'MODULO 4'!D27</f>
        <v>Integración de procesos.</v>
      </c>
      <c r="F25" s="92"/>
      <c r="G25" s="161"/>
      <c r="H25" s="92"/>
      <c r="I25" s="66"/>
    </row>
    <row r="26" spans="1:9" ht="15" customHeight="1" x14ac:dyDescent="0.2">
      <c r="A26" s="166" t="str">
        <f>+'MODULO 4'!B28</f>
        <v>Unidad 4. Agentes Inteligentes (5 horas)</v>
      </c>
      <c r="B26" s="20"/>
      <c r="C26" s="20"/>
      <c r="D26" s="23" t="s">
        <v>92</v>
      </c>
      <c r="E26" s="167" t="str">
        <f>+'MODULO 4'!D28</f>
        <v>Introducción a agentes IA.</v>
      </c>
      <c r="F26" s="92"/>
      <c r="G26" s="161"/>
      <c r="H26" s="92"/>
      <c r="I26" s="66"/>
    </row>
    <row r="27" spans="1:9" ht="15" customHeight="1" x14ac:dyDescent="0.2">
      <c r="A27" s="95"/>
      <c r="B27" s="20"/>
      <c r="C27" s="20"/>
      <c r="D27" s="23" t="s">
        <v>95</v>
      </c>
      <c r="E27" s="167" t="str">
        <f>+'MODULO 4'!D29</f>
        <v>Procesamiento automático.</v>
      </c>
      <c r="F27" s="92"/>
      <c r="G27" s="161"/>
      <c r="H27" s="92"/>
      <c r="I27" s="66"/>
    </row>
    <row r="28" spans="1:9" ht="15" customHeight="1" x14ac:dyDescent="0.2">
      <c r="A28" s="95"/>
      <c r="B28" s="20"/>
      <c r="C28" s="20"/>
      <c r="D28" s="23" t="s">
        <v>98</v>
      </c>
      <c r="E28" s="167" t="str">
        <f>+'MODULO 4'!D30</f>
        <v>Automatización inteligente.</v>
      </c>
      <c r="F28" s="92"/>
      <c r="G28" s="161"/>
      <c r="H28" s="92"/>
      <c r="I28" s="66"/>
    </row>
    <row r="29" spans="1:9" ht="15" customHeight="1" x14ac:dyDescent="0.2">
      <c r="A29" s="95"/>
      <c r="B29" s="20"/>
      <c r="C29" s="20"/>
      <c r="D29" s="23" t="s">
        <v>101</v>
      </c>
      <c r="E29" s="167" t="str">
        <f>+'MODULO 4'!D31</f>
        <v>Integración de modelos.</v>
      </c>
      <c r="F29" s="92"/>
      <c r="G29" s="161"/>
      <c r="H29" s="92"/>
      <c r="I29" s="66"/>
    </row>
    <row r="30" spans="1:9" ht="15" customHeight="1" x14ac:dyDescent="0.2">
      <c r="A30" s="96"/>
      <c r="B30" s="20"/>
      <c r="C30" s="20"/>
      <c r="D30" s="23" t="s">
        <v>104</v>
      </c>
      <c r="E30" s="167" t="str">
        <f>+'MODULO 4'!D32</f>
        <v>Casos institucionales.</v>
      </c>
      <c r="F30" s="92"/>
      <c r="G30" s="161"/>
      <c r="H30" s="92"/>
      <c r="I30" s="66"/>
    </row>
    <row r="31" spans="1:9" ht="12.75" customHeight="1" x14ac:dyDescent="0.2">
      <c r="A31" s="166" t="str">
        <f>+'MODULO 4'!B33</f>
        <v>Unidad 5. Taller Integrador (5 horas)</v>
      </c>
      <c r="B31" s="20"/>
      <c r="C31" s="20"/>
      <c r="D31" s="23" t="s">
        <v>108</v>
      </c>
      <c r="E31" s="167" t="str">
        <f>+'MODULO 4'!D33</f>
        <v>Desarrollo de scraper.</v>
      </c>
      <c r="F31" s="92"/>
      <c r="G31" s="161"/>
      <c r="H31" s="92"/>
      <c r="I31" s="66"/>
    </row>
    <row r="32" spans="1:9" ht="12.75" customHeight="1" x14ac:dyDescent="0.2">
      <c r="A32" s="95"/>
      <c r="B32" s="20"/>
      <c r="C32" s="20"/>
      <c r="D32" s="23" t="s">
        <v>111</v>
      </c>
      <c r="E32" s="167" t="str">
        <f>+'MODULO 4'!D34</f>
        <v>Integración API.</v>
      </c>
      <c r="F32" s="92"/>
      <c r="G32" s="161"/>
      <c r="H32" s="92"/>
      <c r="I32" s="66"/>
    </row>
    <row r="33" spans="1:9" ht="12.75" customHeight="1" x14ac:dyDescent="0.2">
      <c r="A33" s="95"/>
      <c r="B33" s="20"/>
      <c r="C33" s="20"/>
      <c r="D33" s="23" t="s">
        <v>113</v>
      </c>
      <c r="E33" s="167" t="str">
        <f>+'MODULO 4'!D35</f>
        <v>Automatización analítica.</v>
      </c>
      <c r="F33" s="92"/>
      <c r="G33" s="161"/>
      <c r="H33" s="92"/>
      <c r="I33" s="66"/>
    </row>
    <row r="34" spans="1:9" ht="12.75" customHeight="1" x14ac:dyDescent="0.2">
      <c r="A34" s="95"/>
      <c r="B34" s="20"/>
      <c r="C34" s="20"/>
      <c r="D34" s="23" t="s">
        <v>116</v>
      </c>
      <c r="E34" s="167" t="str">
        <f>+'MODULO 4'!D36</f>
        <v>Generación de reportes.</v>
      </c>
      <c r="F34" s="92"/>
      <c r="G34" s="161"/>
      <c r="H34" s="92"/>
      <c r="I34" s="66"/>
    </row>
    <row r="35" spans="1:9" ht="12.75" customHeight="1" x14ac:dyDescent="0.2">
      <c r="A35" s="96"/>
      <c r="B35" s="20"/>
      <c r="C35" s="20"/>
      <c r="D35" s="23" t="s">
        <v>119</v>
      </c>
      <c r="E35" s="167" t="str">
        <f>+'MODULO 4'!D37</f>
        <v>Presentación de resultados.</v>
      </c>
      <c r="F35" s="92"/>
      <c r="G35" s="161"/>
      <c r="H35" s="92"/>
      <c r="I35" s="66"/>
    </row>
    <row r="36" spans="1:9" ht="48" customHeight="1" x14ac:dyDescent="0.2">
      <c r="A36" s="36" t="s">
        <v>140</v>
      </c>
      <c r="B36" s="170" t="str">
        <f>+'MODULO 4'!B42:H42</f>
        <v>Sweigart, A. (2020). Automate the Boring Stuff with Python. No Starch Press. https://automatetheboringstuff.com
Mitchell, R. (2022). Web Scraping with Python. O'Reilly Media. https://www.oreilly.com
VanderPlas, J. (2023). Python Data Science Handbook. O'Reilly Media. https://jakevdp.github.io/PythonDataScienceHandbook/</v>
      </c>
      <c r="C36" s="91"/>
      <c r="D36" s="91"/>
      <c r="E36" s="91"/>
      <c r="F36" s="91"/>
      <c r="G36" s="91"/>
      <c r="H36" s="91"/>
      <c r="I36" s="92"/>
    </row>
    <row r="37" spans="1:9" ht="12.75" customHeight="1" x14ac:dyDescent="0.2">
      <c r="A37" s="175" t="s">
        <v>167</v>
      </c>
      <c r="B37" s="168" t="s">
        <v>44</v>
      </c>
      <c r="C37" s="91"/>
      <c r="D37" s="92"/>
      <c r="E37" s="168" t="s">
        <v>171</v>
      </c>
      <c r="F37" s="92"/>
      <c r="G37" s="39" t="s">
        <v>172</v>
      </c>
      <c r="H37" s="39" t="s">
        <v>176</v>
      </c>
      <c r="I37" s="39" t="s">
        <v>177</v>
      </c>
    </row>
    <row r="38" spans="1:9" ht="12.75" customHeight="1" x14ac:dyDescent="0.2">
      <c r="A38" s="95"/>
      <c r="B38" s="169"/>
      <c r="C38" s="91"/>
      <c r="D38" s="92"/>
      <c r="E38" s="169"/>
      <c r="F38" s="92"/>
      <c r="G38" s="42"/>
      <c r="H38" s="42"/>
      <c r="I38" s="47">
        <f t="shared" ref="I38:I42" si="0">+G38*H38</f>
        <v>0</v>
      </c>
    </row>
    <row r="39" spans="1:9" ht="12.75" customHeight="1" x14ac:dyDescent="0.2">
      <c r="A39" s="95"/>
      <c r="B39" s="169"/>
      <c r="C39" s="91"/>
      <c r="D39" s="92"/>
      <c r="E39" s="169"/>
      <c r="F39" s="92"/>
      <c r="G39" s="42"/>
      <c r="H39" s="42"/>
      <c r="I39" s="47">
        <f t="shared" si="0"/>
        <v>0</v>
      </c>
    </row>
    <row r="40" spans="1:9" ht="12.75" customHeight="1" x14ac:dyDescent="0.2">
      <c r="A40" s="95"/>
      <c r="B40" s="169"/>
      <c r="C40" s="91"/>
      <c r="D40" s="92"/>
      <c r="E40" s="169"/>
      <c r="F40" s="92"/>
      <c r="G40" s="42"/>
      <c r="H40" s="42"/>
      <c r="I40" s="47">
        <f t="shared" si="0"/>
        <v>0</v>
      </c>
    </row>
    <row r="41" spans="1:9" ht="12.75" customHeight="1" x14ac:dyDescent="0.2">
      <c r="A41" s="95"/>
      <c r="B41" s="169"/>
      <c r="C41" s="91"/>
      <c r="D41" s="92"/>
      <c r="E41" s="169"/>
      <c r="F41" s="92"/>
      <c r="G41" s="42"/>
      <c r="H41" s="42"/>
      <c r="I41" s="47">
        <f t="shared" si="0"/>
        <v>0</v>
      </c>
    </row>
    <row r="42" spans="1:9" ht="12.75" customHeight="1" x14ac:dyDescent="0.2">
      <c r="A42" s="95"/>
      <c r="B42" s="169"/>
      <c r="C42" s="91"/>
      <c r="D42" s="92"/>
      <c r="E42" s="169"/>
      <c r="F42" s="92"/>
      <c r="G42" s="42"/>
      <c r="H42" s="42"/>
      <c r="I42" s="47">
        <f t="shared" si="0"/>
        <v>0</v>
      </c>
    </row>
    <row r="43" spans="1:9" ht="12.75" customHeight="1" x14ac:dyDescent="0.2">
      <c r="A43" s="97"/>
      <c r="B43" s="171" t="s">
        <v>181</v>
      </c>
      <c r="C43" s="91"/>
      <c r="D43" s="91"/>
      <c r="E43" s="91"/>
      <c r="F43" s="91"/>
      <c r="G43" s="91"/>
      <c r="H43" s="92"/>
      <c r="I43" s="47">
        <f>SUM(I38:I42)</f>
        <v>0</v>
      </c>
    </row>
    <row r="44" spans="1:9" ht="12.75" customHeight="1" x14ac:dyDescent="0.2">
      <c r="A44" s="172" t="s">
        <v>182</v>
      </c>
      <c r="B44" s="173"/>
      <c r="C44" s="111"/>
      <c r="D44" s="111"/>
      <c r="E44" s="133"/>
      <c r="F44" s="50" t="s">
        <v>183</v>
      </c>
      <c r="G44" s="172" t="s">
        <v>161</v>
      </c>
      <c r="H44" s="174"/>
      <c r="I44" s="133"/>
    </row>
    <row r="45" spans="1:9" ht="12.75" customHeight="1" x14ac:dyDescent="0.2">
      <c r="A45" s="97"/>
      <c r="B45" s="114"/>
      <c r="C45" s="115"/>
      <c r="D45" s="115"/>
      <c r="E45" s="134"/>
      <c r="F45" s="52"/>
      <c r="G45" s="97"/>
      <c r="H45" s="114"/>
      <c r="I45" s="134"/>
    </row>
    <row r="46" spans="1:9" ht="12.75" customHeight="1" x14ac:dyDescent="0.2">
      <c r="A46" s="68"/>
      <c r="B46" s="68"/>
      <c r="C46" s="68"/>
      <c r="D46" s="68"/>
      <c r="E46" s="68"/>
      <c r="F46" s="68"/>
      <c r="G46" s="68"/>
      <c r="H46" s="68"/>
      <c r="I46" s="68"/>
    </row>
    <row r="47" spans="1:9" ht="12.75" customHeight="1" x14ac:dyDescent="0.2">
      <c r="A47" s="68"/>
      <c r="B47" s="68"/>
      <c r="C47" s="68"/>
      <c r="D47" s="68"/>
      <c r="E47" s="68"/>
      <c r="F47" s="68"/>
      <c r="G47" s="68"/>
      <c r="H47" s="68"/>
      <c r="I47" s="68"/>
    </row>
    <row r="48" spans="1:9" ht="12.75" customHeight="1" x14ac:dyDescent="0.2">
      <c r="A48" s="68"/>
      <c r="B48" s="68"/>
      <c r="C48" s="68"/>
      <c r="D48" s="68"/>
      <c r="E48" s="68"/>
      <c r="F48" s="68"/>
      <c r="G48" s="68"/>
      <c r="H48" s="68"/>
      <c r="I48" s="68"/>
    </row>
    <row r="49" spans="1:9" ht="12.75" customHeight="1" x14ac:dyDescent="0.2">
      <c r="A49" s="68"/>
      <c r="B49" s="68"/>
      <c r="C49" s="68"/>
      <c r="D49" s="68"/>
      <c r="E49" s="68"/>
      <c r="F49" s="68"/>
      <c r="G49" s="68"/>
      <c r="H49" s="68"/>
      <c r="I49" s="68"/>
    </row>
    <row r="50" spans="1:9" ht="12.75" customHeight="1" x14ac:dyDescent="0.2">
      <c r="A50" s="68"/>
      <c r="B50" s="68"/>
      <c r="C50" s="68"/>
      <c r="D50" s="68"/>
      <c r="E50" s="68"/>
      <c r="F50" s="68"/>
      <c r="G50" s="68"/>
      <c r="H50" s="68"/>
      <c r="I50" s="68"/>
    </row>
    <row r="51" spans="1:9" ht="12.75" customHeight="1" x14ac:dyDescent="0.2"/>
    <row r="52" spans="1:9" ht="12.75" customHeight="1" x14ac:dyDescent="0.2"/>
    <row r="53" spans="1:9" ht="12.75" customHeight="1" x14ac:dyDescent="0.2"/>
    <row r="54" spans="1:9" ht="12.75" customHeight="1" x14ac:dyDescent="0.2"/>
    <row r="55" spans="1:9" ht="12.75" customHeight="1" x14ac:dyDescent="0.2"/>
    <row r="56" spans="1:9" ht="12.75" customHeight="1" x14ac:dyDescent="0.2"/>
    <row r="57" spans="1:9" ht="12.75" customHeight="1" x14ac:dyDescent="0.2"/>
    <row r="58" spans="1:9" ht="12.75" customHeight="1" x14ac:dyDescent="0.2"/>
    <row r="59" spans="1:9" ht="12.75" customHeight="1" x14ac:dyDescent="0.2"/>
    <row r="60" spans="1:9" ht="12.75" customHeight="1" x14ac:dyDescent="0.2"/>
    <row r="61" spans="1:9" ht="12.75" customHeight="1" x14ac:dyDescent="0.2"/>
    <row r="62" spans="1:9" ht="12.75" customHeight="1" x14ac:dyDescent="0.2"/>
    <row r="63" spans="1:9" ht="12.75" customHeight="1" x14ac:dyDescent="0.2"/>
    <row r="64" spans="1:9"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89">
    <mergeCell ref="G16:H16"/>
    <mergeCell ref="G17:H17"/>
    <mergeCell ref="A21:A25"/>
    <mergeCell ref="A26:A30"/>
    <mergeCell ref="E26:F26"/>
    <mergeCell ref="G26:H26"/>
    <mergeCell ref="E27:F27"/>
    <mergeCell ref="G27:H27"/>
    <mergeCell ref="E28:F28"/>
    <mergeCell ref="G28:H28"/>
    <mergeCell ref="E30:F30"/>
    <mergeCell ref="A31:A35"/>
    <mergeCell ref="E31:F31"/>
    <mergeCell ref="E32:F32"/>
    <mergeCell ref="E33:F33"/>
    <mergeCell ref="E34:F34"/>
    <mergeCell ref="E35:F35"/>
    <mergeCell ref="B42:D42"/>
    <mergeCell ref="E42:F42"/>
    <mergeCell ref="B43:H43"/>
    <mergeCell ref="A44:A45"/>
    <mergeCell ref="B44:E45"/>
    <mergeCell ref="G44:G45"/>
    <mergeCell ref="H44:I45"/>
    <mergeCell ref="A37:A43"/>
    <mergeCell ref="B37:D37"/>
    <mergeCell ref="B39:D39"/>
    <mergeCell ref="E39:F39"/>
    <mergeCell ref="B40:D40"/>
    <mergeCell ref="E40:F40"/>
    <mergeCell ref="B41:D41"/>
    <mergeCell ref="E41:F41"/>
    <mergeCell ref="G34:H34"/>
    <mergeCell ref="G35:H35"/>
    <mergeCell ref="E37:F37"/>
    <mergeCell ref="B38:D38"/>
    <mergeCell ref="E38:F38"/>
    <mergeCell ref="B36:I36"/>
    <mergeCell ref="G30:H30"/>
    <mergeCell ref="G31:H31"/>
    <mergeCell ref="G32:H32"/>
    <mergeCell ref="G33:H33"/>
    <mergeCell ref="E23:F23"/>
    <mergeCell ref="G23:H23"/>
    <mergeCell ref="E24:F24"/>
    <mergeCell ref="G24:H24"/>
    <mergeCell ref="E25:F25"/>
    <mergeCell ref="G25:H25"/>
    <mergeCell ref="E29:F29"/>
    <mergeCell ref="G29:H29"/>
    <mergeCell ref="E20:F20"/>
    <mergeCell ref="G20:H20"/>
    <mergeCell ref="G21:H21"/>
    <mergeCell ref="E22:F22"/>
    <mergeCell ref="G22:H22"/>
    <mergeCell ref="E21:F21"/>
    <mergeCell ref="A10:A15"/>
    <mergeCell ref="E18:F18"/>
    <mergeCell ref="G18:H18"/>
    <mergeCell ref="E19:F19"/>
    <mergeCell ref="G19:H19"/>
    <mergeCell ref="E17:F17"/>
    <mergeCell ref="E16:F16"/>
    <mergeCell ref="E12:F12"/>
    <mergeCell ref="G12:H12"/>
    <mergeCell ref="E13:F13"/>
    <mergeCell ref="G13:H13"/>
    <mergeCell ref="E14:F14"/>
    <mergeCell ref="G14:H14"/>
    <mergeCell ref="E15:F15"/>
    <mergeCell ref="G15:H15"/>
    <mergeCell ref="A16:A20"/>
    <mergeCell ref="B4:I4"/>
    <mergeCell ref="H5:I5"/>
    <mergeCell ref="D10:F10"/>
    <mergeCell ref="G10:H10"/>
    <mergeCell ref="E11:F11"/>
    <mergeCell ref="G11:H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0800-000000000000}">
          <x14:formula1>
            <xm:f>'LISTAS-OCULTAR'!$A$1:$A$4</xm:f>
          </x14:formula1>
          <xm:sqref>I11:I12 I14:I35</xm:sqref>
        </x14:dataValidation>
        <x14:dataValidation type="list" allowBlank="1" showErrorMessage="1" xr:uid="{00000000-0002-0000-0800-000001000000}">
          <x14:formula1>
            <xm:f>'LISTAS-OCULTAR'!$A$1:$A$3</xm:f>
          </x14:formula1>
          <xm:sqref>B38:B42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22.5" customHeight="1" x14ac:dyDescent="0.25">
      <c r="A4" s="4" t="s">
        <v>7</v>
      </c>
      <c r="B4" s="139" t="str">
        <f>+'RESUMEN DIPLOMADO'!D3</f>
        <v>DIPLOMADO EN BIG DATA E INTELIGENCIA ARTIFICIAL</v>
      </c>
      <c r="C4" s="91"/>
      <c r="D4" s="91"/>
      <c r="E4" s="91"/>
      <c r="F4" s="92"/>
      <c r="G4" s="7" t="s">
        <v>9</v>
      </c>
      <c r="H4" s="10" t="str">
        <f>+'RESUMEN DIPLOMADO'!M3</f>
        <v>150 horas
120 horas sincrónicas y
30 horas asincrónicas</v>
      </c>
      <c r="I4" s="11"/>
      <c r="J4" s="11"/>
      <c r="K4" s="11"/>
      <c r="L4" s="11"/>
      <c r="M4" s="11"/>
      <c r="N4" s="11"/>
      <c r="O4" s="11"/>
      <c r="P4" s="11"/>
      <c r="Q4" s="11"/>
      <c r="R4" s="11"/>
      <c r="S4" s="11"/>
      <c r="T4" s="11"/>
      <c r="U4" s="11"/>
      <c r="V4" s="11"/>
      <c r="W4" s="11"/>
      <c r="X4" s="11"/>
      <c r="Y4" s="11"/>
      <c r="Z4" s="11"/>
    </row>
    <row r="5" spans="1:26" ht="22.5" customHeight="1" x14ac:dyDescent="0.25">
      <c r="A5" s="12" t="s">
        <v>231</v>
      </c>
      <c r="B5" s="139" t="s">
        <v>275</v>
      </c>
      <c r="C5" s="91"/>
      <c r="D5" s="91"/>
      <c r="E5" s="91"/>
      <c r="F5" s="92"/>
      <c r="G5" s="14" t="s">
        <v>9</v>
      </c>
      <c r="H5" s="69" t="s">
        <v>19</v>
      </c>
      <c r="I5" s="11"/>
      <c r="J5" s="11"/>
      <c r="K5" s="11"/>
      <c r="L5" s="11"/>
      <c r="M5" s="11"/>
      <c r="N5" s="11"/>
      <c r="O5" s="11"/>
      <c r="P5" s="11"/>
      <c r="Q5" s="11"/>
      <c r="R5" s="11"/>
      <c r="S5" s="11"/>
      <c r="T5" s="11"/>
      <c r="U5" s="11"/>
      <c r="V5" s="11"/>
      <c r="W5" s="11"/>
      <c r="X5" s="11"/>
      <c r="Y5" s="11"/>
      <c r="Z5" s="11"/>
    </row>
    <row r="6" spans="1:26" ht="102.75" customHeight="1" x14ac:dyDescent="0.2">
      <c r="A6" s="17" t="s">
        <v>34</v>
      </c>
      <c r="B6" s="140" t="s">
        <v>276</v>
      </c>
      <c r="C6" s="91"/>
      <c r="D6" s="91"/>
      <c r="E6" s="91"/>
      <c r="F6" s="91"/>
      <c r="G6" s="91"/>
      <c r="H6" s="92"/>
      <c r="I6" s="18"/>
      <c r="J6" s="18"/>
      <c r="K6" s="18"/>
      <c r="L6" s="18"/>
      <c r="M6" s="18"/>
      <c r="N6" s="18"/>
      <c r="O6" s="18"/>
      <c r="P6" s="18"/>
      <c r="Q6" s="18"/>
      <c r="R6" s="18"/>
      <c r="S6" s="18"/>
      <c r="T6" s="18"/>
      <c r="U6" s="18"/>
      <c r="V6" s="18"/>
      <c r="W6" s="18"/>
      <c r="X6" s="18"/>
      <c r="Y6" s="18"/>
      <c r="Z6" s="18"/>
    </row>
    <row r="7" spans="1:26" ht="27" customHeight="1" x14ac:dyDescent="0.2">
      <c r="A7" s="17" t="s">
        <v>13</v>
      </c>
      <c r="B7" s="140" t="s">
        <v>277</v>
      </c>
      <c r="C7" s="91"/>
      <c r="D7" s="91"/>
      <c r="E7" s="91"/>
      <c r="F7" s="91"/>
      <c r="G7" s="91"/>
      <c r="H7" s="92"/>
      <c r="I7" s="18"/>
      <c r="J7" s="18"/>
      <c r="K7" s="18"/>
      <c r="L7" s="18"/>
      <c r="M7" s="18"/>
      <c r="N7" s="18"/>
      <c r="O7" s="18"/>
      <c r="P7" s="18"/>
      <c r="Q7" s="18"/>
      <c r="R7" s="18"/>
      <c r="S7" s="18"/>
      <c r="T7" s="18"/>
      <c r="U7" s="18"/>
      <c r="V7" s="18"/>
      <c r="W7" s="18"/>
      <c r="X7" s="18"/>
      <c r="Y7" s="18"/>
      <c r="Z7" s="18"/>
    </row>
    <row r="8" spans="1:26" ht="30" customHeight="1" x14ac:dyDescent="0.2">
      <c r="A8" s="17" t="s">
        <v>31</v>
      </c>
      <c r="B8" s="140" t="s">
        <v>278</v>
      </c>
      <c r="C8" s="91"/>
      <c r="D8" s="91"/>
      <c r="E8" s="91"/>
      <c r="F8" s="91"/>
      <c r="G8" s="91"/>
      <c r="H8" s="92"/>
      <c r="I8" s="18"/>
      <c r="J8" s="18"/>
      <c r="K8" s="18"/>
      <c r="L8" s="18"/>
      <c r="M8" s="18"/>
      <c r="N8" s="18"/>
      <c r="O8" s="18"/>
      <c r="P8" s="18"/>
      <c r="Q8" s="18"/>
      <c r="R8" s="18"/>
      <c r="S8" s="18"/>
      <c r="T8" s="18"/>
      <c r="U8" s="18"/>
      <c r="V8" s="18"/>
      <c r="W8" s="18"/>
      <c r="X8" s="18"/>
      <c r="Y8" s="18"/>
      <c r="Z8" s="18"/>
    </row>
    <row r="9" spans="1:26" ht="60.75" customHeight="1" x14ac:dyDescent="0.2">
      <c r="A9" s="17" t="s">
        <v>22</v>
      </c>
      <c r="B9" s="140" t="s">
        <v>279</v>
      </c>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20</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t="s">
        <v>280</v>
      </c>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65.25" customHeight="1" x14ac:dyDescent="0.2">
      <c r="A12" s="17" t="s">
        <v>30</v>
      </c>
      <c r="B12" s="140" t="s">
        <v>281</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9.25" customHeight="1" x14ac:dyDescent="0.2">
      <c r="A13" s="130" t="s">
        <v>41</v>
      </c>
      <c r="B13" s="131" t="s">
        <v>282</v>
      </c>
      <c r="C13" s="22" t="s">
        <v>47</v>
      </c>
      <c r="D13" s="141" t="s">
        <v>283</v>
      </c>
      <c r="E13" s="91"/>
      <c r="F13" s="91"/>
      <c r="G13" s="91"/>
      <c r="H13" s="178"/>
      <c r="I13" s="18"/>
      <c r="J13" s="18"/>
      <c r="K13" s="18"/>
      <c r="L13" s="18"/>
      <c r="M13" s="18"/>
      <c r="N13" s="18"/>
      <c r="O13" s="18"/>
      <c r="P13" s="18"/>
      <c r="Q13" s="18"/>
      <c r="R13" s="18"/>
      <c r="S13" s="18"/>
      <c r="T13" s="18"/>
      <c r="U13" s="18"/>
      <c r="V13" s="18"/>
      <c r="W13" s="18"/>
      <c r="X13" s="18"/>
      <c r="Y13" s="18"/>
      <c r="Z13" s="18"/>
    </row>
    <row r="14" spans="1:26" ht="28.5" customHeight="1" x14ac:dyDescent="0.2">
      <c r="A14" s="95"/>
      <c r="B14" s="95"/>
      <c r="C14" s="22" t="s">
        <v>49</v>
      </c>
      <c r="D14" s="141" t="s">
        <v>284</v>
      </c>
      <c r="E14" s="91"/>
      <c r="F14" s="91"/>
      <c r="G14" s="91"/>
      <c r="H14" s="92"/>
      <c r="I14" s="18"/>
      <c r="J14" s="18"/>
      <c r="K14" s="18"/>
      <c r="L14" s="18"/>
      <c r="M14" s="18"/>
      <c r="N14" s="18"/>
      <c r="O14" s="18"/>
      <c r="P14" s="18"/>
      <c r="Q14" s="18"/>
      <c r="R14" s="18"/>
      <c r="S14" s="18"/>
      <c r="T14" s="18"/>
      <c r="U14" s="18"/>
      <c r="V14" s="18"/>
      <c r="W14" s="18"/>
      <c r="X14" s="18"/>
      <c r="Y14" s="18"/>
      <c r="Z14" s="18"/>
    </row>
    <row r="15" spans="1:26" ht="28.5" customHeight="1" x14ac:dyDescent="0.2">
      <c r="A15" s="95"/>
      <c r="B15" s="95"/>
      <c r="C15" s="22" t="s">
        <v>52</v>
      </c>
      <c r="D15" s="142" t="s">
        <v>285</v>
      </c>
      <c r="E15" s="91"/>
      <c r="F15" s="91"/>
      <c r="G15" s="91"/>
      <c r="H15" s="92"/>
      <c r="I15" s="18"/>
      <c r="J15" s="18"/>
      <c r="K15" s="18"/>
      <c r="L15" s="18"/>
      <c r="M15" s="18"/>
      <c r="N15" s="18"/>
      <c r="O15" s="18"/>
      <c r="P15" s="18"/>
      <c r="Q15" s="18"/>
      <c r="R15" s="18"/>
      <c r="S15" s="18"/>
      <c r="T15" s="18"/>
      <c r="U15" s="18"/>
      <c r="V15" s="18"/>
      <c r="W15" s="18"/>
      <c r="X15" s="18"/>
      <c r="Y15" s="18"/>
      <c r="Z15" s="18"/>
    </row>
    <row r="16" spans="1:26" ht="28.5" customHeight="1" x14ac:dyDescent="0.2">
      <c r="A16" s="95"/>
      <c r="B16" s="95"/>
      <c r="C16" s="22" t="s">
        <v>55</v>
      </c>
      <c r="D16" s="142" t="s">
        <v>286</v>
      </c>
      <c r="E16" s="91"/>
      <c r="F16" s="91"/>
      <c r="G16" s="91"/>
      <c r="H16" s="92"/>
      <c r="I16" s="18"/>
      <c r="J16" s="18"/>
      <c r="K16" s="18"/>
      <c r="L16" s="18"/>
      <c r="M16" s="18"/>
      <c r="N16" s="18"/>
      <c r="O16" s="18"/>
      <c r="P16" s="18"/>
      <c r="Q16" s="18"/>
      <c r="R16" s="18"/>
      <c r="S16" s="18"/>
      <c r="T16" s="18"/>
      <c r="U16" s="18"/>
      <c r="V16" s="18"/>
      <c r="W16" s="18"/>
      <c r="X16" s="18"/>
      <c r="Y16" s="18"/>
      <c r="Z16" s="18"/>
    </row>
    <row r="17" spans="1:26" ht="28.5" customHeight="1" x14ac:dyDescent="0.2">
      <c r="A17" s="95"/>
      <c r="B17" s="97"/>
      <c r="C17" s="22" t="s">
        <v>57</v>
      </c>
      <c r="D17" s="142" t="s">
        <v>287</v>
      </c>
      <c r="E17" s="91"/>
      <c r="F17" s="91"/>
      <c r="G17" s="91"/>
      <c r="H17" s="92"/>
      <c r="I17" s="18"/>
      <c r="J17" s="18"/>
      <c r="K17" s="18"/>
      <c r="L17" s="18"/>
      <c r="M17" s="18"/>
      <c r="N17" s="18"/>
      <c r="O17" s="18"/>
      <c r="P17" s="18"/>
      <c r="Q17" s="18"/>
      <c r="R17" s="18"/>
      <c r="S17" s="18"/>
      <c r="T17" s="18"/>
      <c r="U17" s="18"/>
      <c r="V17" s="18"/>
      <c r="W17" s="18"/>
      <c r="X17" s="18"/>
      <c r="Y17" s="18"/>
      <c r="Z17" s="18"/>
    </row>
    <row r="18" spans="1:26" ht="28.5" customHeight="1" x14ac:dyDescent="0.2">
      <c r="A18" s="95"/>
      <c r="B18" s="131" t="s">
        <v>288</v>
      </c>
      <c r="C18" s="22" t="s">
        <v>61</v>
      </c>
      <c r="D18" s="142" t="s">
        <v>289</v>
      </c>
      <c r="E18" s="91"/>
      <c r="F18" s="91"/>
      <c r="G18" s="91"/>
      <c r="H18" s="92"/>
      <c r="I18" s="18"/>
      <c r="J18" s="18"/>
      <c r="K18" s="18"/>
      <c r="L18" s="18"/>
      <c r="M18" s="18"/>
      <c r="N18" s="18"/>
      <c r="O18" s="18"/>
      <c r="P18" s="18"/>
      <c r="Q18" s="18"/>
      <c r="R18" s="18"/>
      <c r="S18" s="18"/>
      <c r="T18" s="18"/>
      <c r="U18" s="18"/>
      <c r="V18" s="18"/>
      <c r="W18" s="18"/>
      <c r="X18" s="18"/>
      <c r="Y18" s="18"/>
      <c r="Z18" s="18"/>
    </row>
    <row r="19" spans="1:26" ht="28.5" customHeight="1" x14ac:dyDescent="0.2">
      <c r="A19" s="95"/>
      <c r="B19" s="95"/>
      <c r="C19" s="22" t="s">
        <v>64</v>
      </c>
      <c r="D19" s="142" t="s">
        <v>290</v>
      </c>
      <c r="E19" s="91"/>
      <c r="F19" s="91"/>
      <c r="G19" s="91"/>
      <c r="H19" s="92"/>
      <c r="I19" s="18"/>
      <c r="J19" s="18"/>
      <c r="K19" s="18"/>
      <c r="L19" s="18"/>
      <c r="M19" s="18"/>
      <c r="N19" s="18"/>
      <c r="O19" s="18"/>
      <c r="P19" s="18"/>
      <c r="Q19" s="18"/>
      <c r="R19" s="18"/>
      <c r="S19" s="18"/>
      <c r="T19" s="18"/>
      <c r="U19" s="18"/>
      <c r="V19" s="18"/>
      <c r="W19" s="18"/>
      <c r="X19" s="18"/>
      <c r="Y19" s="18"/>
      <c r="Z19" s="18"/>
    </row>
    <row r="20" spans="1:26" ht="28.5" customHeight="1" x14ac:dyDescent="0.2">
      <c r="A20" s="95"/>
      <c r="B20" s="95"/>
      <c r="C20" s="22" t="s">
        <v>66</v>
      </c>
      <c r="D20" s="142" t="s">
        <v>291</v>
      </c>
      <c r="E20" s="91"/>
      <c r="F20" s="91"/>
      <c r="G20" s="91"/>
      <c r="H20" s="92"/>
      <c r="I20" s="18"/>
      <c r="J20" s="18"/>
      <c r="K20" s="18"/>
      <c r="L20" s="18"/>
      <c r="M20" s="18"/>
      <c r="N20" s="18"/>
      <c r="O20" s="18"/>
      <c r="P20" s="18"/>
      <c r="Q20" s="18"/>
      <c r="R20" s="18"/>
      <c r="S20" s="18"/>
      <c r="T20" s="18"/>
      <c r="U20" s="18"/>
      <c r="V20" s="18"/>
      <c r="W20" s="18"/>
      <c r="X20" s="18"/>
      <c r="Y20" s="18"/>
      <c r="Z20" s="18"/>
    </row>
    <row r="21" spans="1:26" ht="28.5" customHeight="1" x14ac:dyDescent="0.2">
      <c r="A21" s="95"/>
      <c r="B21" s="95"/>
      <c r="C21" s="22" t="s">
        <v>69</v>
      </c>
      <c r="D21" s="142" t="s">
        <v>292</v>
      </c>
      <c r="E21" s="91"/>
      <c r="F21" s="91"/>
      <c r="G21" s="91"/>
      <c r="H21" s="92"/>
      <c r="I21" s="18"/>
      <c r="J21" s="18"/>
      <c r="K21" s="18"/>
      <c r="L21" s="18"/>
      <c r="M21" s="18"/>
      <c r="N21" s="18"/>
      <c r="O21" s="18"/>
      <c r="P21" s="18"/>
      <c r="Q21" s="18"/>
      <c r="R21" s="18"/>
      <c r="S21" s="18"/>
      <c r="T21" s="18"/>
      <c r="U21" s="18"/>
      <c r="V21" s="18"/>
      <c r="W21" s="18"/>
      <c r="X21" s="18"/>
      <c r="Y21" s="18"/>
      <c r="Z21" s="18"/>
    </row>
    <row r="22" spans="1:26" ht="28.5" customHeight="1" x14ac:dyDescent="0.2">
      <c r="A22" s="95"/>
      <c r="B22" s="97"/>
      <c r="C22" s="22" t="s">
        <v>72</v>
      </c>
      <c r="D22" s="142" t="s">
        <v>293</v>
      </c>
      <c r="E22" s="91"/>
      <c r="F22" s="91"/>
      <c r="G22" s="91"/>
      <c r="H22" s="92"/>
      <c r="I22" s="18"/>
      <c r="J22" s="18"/>
      <c r="K22" s="18"/>
      <c r="L22" s="18"/>
      <c r="M22" s="18"/>
      <c r="N22" s="18"/>
      <c r="O22" s="18"/>
      <c r="P22" s="18"/>
      <c r="Q22" s="18"/>
      <c r="R22" s="18"/>
      <c r="S22" s="18"/>
      <c r="T22" s="18"/>
      <c r="U22" s="18"/>
      <c r="V22" s="18"/>
      <c r="W22" s="18"/>
      <c r="X22" s="18"/>
      <c r="Y22" s="18"/>
      <c r="Z22" s="18"/>
    </row>
    <row r="23" spans="1:26" ht="28.5" customHeight="1" x14ac:dyDescent="0.2">
      <c r="A23" s="95"/>
      <c r="B23" s="131" t="s">
        <v>294</v>
      </c>
      <c r="C23" s="22" t="s">
        <v>76</v>
      </c>
      <c r="D23" s="142" t="s">
        <v>77</v>
      </c>
      <c r="E23" s="91"/>
      <c r="F23" s="91"/>
      <c r="G23" s="91"/>
      <c r="H23" s="92"/>
      <c r="I23" s="18"/>
      <c r="J23" s="18"/>
      <c r="K23" s="18"/>
      <c r="L23" s="18"/>
      <c r="M23" s="18"/>
      <c r="N23" s="18"/>
      <c r="O23" s="18"/>
      <c r="P23" s="18"/>
      <c r="Q23" s="18"/>
      <c r="R23" s="18"/>
      <c r="S23" s="18"/>
      <c r="T23" s="18"/>
      <c r="U23" s="18"/>
      <c r="V23" s="18"/>
      <c r="W23" s="18"/>
      <c r="X23" s="18"/>
      <c r="Y23" s="18"/>
      <c r="Z23" s="18"/>
    </row>
    <row r="24" spans="1:26" ht="28.5" customHeight="1" x14ac:dyDescent="0.2">
      <c r="A24" s="95"/>
      <c r="B24" s="95"/>
      <c r="C24" s="22" t="s">
        <v>78</v>
      </c>
      <c r="D24" s="142" t="s">
        <v>295</v>
      </c>
      <c r="E24" s="91"/>
      <c r="F24" s="91"/>
      <c r="G24" s="91"/>
      <c r="H24" s="92"/>
      <c r="I24" s="18"/>
      <c r="J24" s="18"/>
      <c r="K24" s="18"/>
      <c r="L24" s="18"/>
      <c r="M24" s="18"/>
      <c r="N24" s="18"/>
      <c r="O24" s="18"/>
      <c r="P24" s="18"/>
      <c r="Q24" s="18"/>
      <c r="R24" s="18"/>
      <c r="S24" s="18"/>
      <c r="T24" s="18"/>
      <c r="U24" s="18"/>
      <c r="V24" s="18"/>
      <c r="W24" s="18"/>
      <c r="X24" s="18"/>
      <c r="Y24" s="18"/>
      <c r="Z24" s="18"/>
    </row>
    <row r="25" spans="1:26" ht="28.5" customHeight="1" x14ac:dyDescent="0.2">
      <c r="A25" s="95"/>
      <c r="B25" s="95"/>
      <c r="C25" s="22" t="s">
        <v>81</v>
      </c>
      <c r="D25" s="142" t="s">
        <v>296</v>
      </c>
      <c r="E25" s="91"/>
      <c r="F25" s="91"/>
      <c r="G25" s="91"/>
      <c r="H25" s="92"/>
      <c r="I25" s="18"/>
      <c r="J25" s="18"/>
      <c r="K25" s="18"/>
      <c r="L25" s="18"/>
      <c r="M25" s="18"/>
      <c r="N25" s="18"/>
      <c r="O25" s="18"/>
      <c r="P25" s="18"/>
      <c r="Q25" s="18"/>
      <c r="R25" s="18"/>
      <c r="S25" s="18"/>
      <c r="T25" s="18"/>
      <c r="U25" s="18"/>
      <c r="V25" s="18"/>
      <c r="W25" s="18"/>
      <c r="X25" s="18"/>
      <c r="Y25" s="18"/>
      <c r="Z25" s="18"/>
    </row>
    <row r="26" spans="1:26" ht="28.5" customHeight="1" x14ac:dyDescent="0.2">
      <c r="A26" s="95"/>
      <c r="B26" s="95"/>
      <c r="C26" s="22" t="s">
        <v>85</v>
      </c>
      <c r="D26" s="142" t="s">
        <v>202</v>
      </c>
      <c r="E26" s="91"/>
      <c r="F26" s="91"/>
      <c r="G26" s="91"/>
      <c r="H26" s="92"/>
      <c r="I26" s="18"/>
      <c r="J26" s="18"/>
      <c r="K26" s="18"/>
      <c r="L26" s="18"/>
      <c r="M26" s="18"/>
      <c r="N26" s="18"/>
      <c r="O26" s="18"/>
      <c r="P26" s="18"/>
      <c r="Q26" s="18"/>
      <c r="R26" s="18"/>
      <c r="S26" s="18"/>
      <c r="T26" s="18"/>
      <c r="U26" s="18"/>
      <c r="V26" s="18"/>
      <c r="W26" s="18"/>
      <c r="X26" s="18"/>
      <c r="Y26" s="18"/>
      <c r="Z26" s="18"/>
    </row>
    <row r="27" spans="1:26" ht="28.5" customHeight="1" x14ac:dyDescent="0.2">
      <c r="A27" s="95"/>
      <c r="B27" s="97"/>
      <c r="C27" s="22" t="s">
        <v>87</v>
      </c>
      <c r="D27" s="142" t="s">
        <v>222</v>
      </c>
      <c r="E27" s="91"/>
      <c r="F27" s="91"/>
      <c r="G27" s="91"/>
      <c r="H27" s="92"/>
      <c r="I27" s="18"/>
      <c r="J27" s="18"/>
      <c r="K27" s="18"/>
      <c r="L27" s="18"/>
      <c r="M27" s="18"/>
      <c r="N27" s="18"/>
      <c r="O27" s="18"/>
      <c r="P27" s="18"/>
      <c r="Q27" s="18"/>
      <c r="R27" s="18"/>
      <c r="S27" s="18"/>
      <c r="T27" s="18"/>
      <c r="U27" s="18"/>
      <c r="V27" s="18"/>
      <c r="W27" s="18"/>
      <c r="X27" s="18"/>
      <c r="Y27" s="18"/>
      <c r="Z27" s="18"/>
    </row>
    <row r="28" spans="1:26" ht="28.5" customHeight="1" x14ac:dyDescent="0.2">
      <c r="A28" s="95"/>
      <c r="B28" s="131" t="s">
        <v>297</v>
      </c>
      <c r="C28" s="22" t="s">
        <v>92</v>
      </c>
      <c r="D28" s="142" t="s">
        <v>298</v>
      </c>
      <c r="E28" s="91"/>
      <c r="F28" s="91"/>
      <c r="G28" s="91"/>
      <c r="H28" s="92"/>
      <c r="I28" s="18"/>
      <c r="J28" s="18"/>
      <c r="K28" s="18"/>
      <c r="L28" s="18"/>
      <c r="M28" s="18"/>
      <c r="N28" s="18"/>
      <c r="O28" s="18"/>
      <c r="P28" s="18"/>
      <c r="Q28" s="18"/>
      <c r="R28" s="18"/>
      <c r="S28" s="18"/>
      <c r="T28" s="18"/>
      <c r="U28" s="18"/>
      <c r="V28" s="18"/>
      <c r="W28" s="18"/>
      <c r="X28" s="18"/>
      <c r="Y28" s="18"/>
      <c r="Z28" s="18"/>
    </row>
    <row r="29" spans="1:26" ht="28.5" customHeight="1" x14ac:dyDescent="0.2">
      <c r="A29" s="95"/>
      <c r="B29" s="95"/>
      <c r="C29" s="22" t="s">
        <v>95</v>
      </c>
      <c r="D29" s="142" t="s">
        <v>299</v>
      </c>
      <c r="E29" s="91"/>
      <c r="F29" s="91"/>
      <c r="G29" s="91"/>
      <c r="H29" s="92"/>
      <c r="I29" s="18"/>
      <c r="J29" s="18"/>
      <c r="K29" s="18"/>
      <c r="L29" s="18"/>
      <c r="M29" s="18"/>
      <c r="N29" s="18"/>
      <c r="O29" s="18"/>
      <c r="P29" s="18"/>
      <c r="Q29" s="18"/>
      <c r="R29" s="18"/>
      <c r="S29" s="18"/>
      <c r="T29" s="18"/>
      <c r="U29" s="18"/>
      <c r="V29" s="18"/>
      <c r="W29" s="18"/>
      <c r="X29" s="18"/>
      <c r="Y29" s="18"/>
      <c r="Z29" s="18"/>
    </row>
    <row r="30" spans="1:26" ht="28.5" customHeight="1" x14ac:dyDescent="0.2">
      <c r="A30" s="95"/>
      <c r="B30" s="95"/>
      <c r="C30" s="22" t="s">
        <v>98</v>
      </c>
      <c r="D30" s="142"/>
      <c r="E30" s="91"/>
      <c r="F30" s="91"/>
      <c r="G30" s="91"/>
      <c r="H30" s="92"/>
      <c r="I30" s="18"/>
      <c r="J30" s="18"/>
      <c r="K30" s="18"/>
      <c r="L30" s="18"/>
      <c r="M30" s="18"/>
      <c r="N30" s="18"/>
      <c r="O30" s="18"/>
      <c r="P30" s="18"/>
      <c r="Q30" s="18"/>
      <c r="R30" s="18"/>
      <c r="S30" s="18"/>
      <c r="T30" s="18"/>
      <c r="U30" s="18"/>
      <c r="V30" s="18"/>
      <c r="W30" s="18"/>
      <c r="X30" s="18"/>
      <c r="Y30" s="18"/>
      <c r="Z30" s="18"/>
    </row>
    <row r="31" spans="1:26" ht="28.5" customHeight="1" x14ac:dyDescent="0.2">
      <c r="A31" s="95"/>
      <c r="B31" s="95"/>
      <c r="C31" s="22" t="s">
        <v>101</v>
      </c>
      <c r="D31" s="142"/>
      <c r="E31" s="91"/>
      <c r="F31" s="91"/>
      <c r="G31" s="91"/>
      <c r="H31" s="92"/>
      <c r="I31" s="18"/>
      <c r="J31" s="18"/>
      <c r="K31" s="18"/>
      <c r="L31" s="18"/>
      <c r="M31" s="18"/>
      <c r="N31" s="18"/>
      <c r="O31" s="18"/>
      <c r="P31" s="18"/>
      <c r="Q31" s="18"/>
      <c r="R31" s="18"/>
      <c r="S31" s="18"/>
      <c r="T31" s="18"/>
      <c r="U31" s="18"/>
      <c r="V31" s="18"/>
      <c r="W31" s="18"/>
      <c r="X31" s="18"/>
      <c r="Y31" s="18"/>
      <c r="Z31" s="18"/>
    </row>
    <row r="32" spans="1:26" ht="28.5" customHeight="1" x14ac:dyDescent="0.2">
      <c r="A32" s="95"/>
      <c r="B32" s="97"/>
      <c r="C32" s="22" t="s">
        <v>104</v>
      </c>
      <c r="D32" s="142"/>
      <c r="E32" s="91"/>
      <c r="F32" s="91"/>
      <c r="G32" s="91"/>
      <c r="H32" s="92"/>
      <c r="I32" s="18"/>
      <c r="J32" s="18"/>
      <c r="K32" s="18"/>
      <c r="L32" s="18"/>
      <c r="M32" s="18"/>
      <c r="N32" s="18"/>
      <c r="O32" s="18"/>
      <c r="P32" s="18"/>
      <c r="Q32" s="18"/>
      <c r="R32" s="18"/>
      <c r="S32" s="18"/>
      <c r="T32" s="18"/>
      <c r="U32" s="18"/>
      <c r="V32" s="18"/>
      <c r="W32" s="18"/>
      <c r="X32" s="18"/>
      <c r="Y32" s="18"/>
      <c r="Z32" s="18"/>
    </row>
    <row r="33" spans="1:26" ht="28.5" customHeight="1" x14ac:dyDescent="0.2">
      <c r="A33" s="95"/>
      <c r="B33" s="131" t="s">
        <v>300</v>
      </c>
      <c r="C33" s="22" t="s">
        <v>108</v>
      </c>
      <c r="D33" s="142" t="s">
        <v>301</v>
      </c>
      <c r="E33" s="91"/>
      <c r="F33" s="91"/>
      <c r="G33" s="91"/>
      <c r="H33" s="92"/>
      <c r="I33" s="18"/>
      <c r="J33" s="18"/>
      <c r="K33" s="18"/>
      <c r="L33" s="18"/>
      <c r="M33" s="18"/>
      <c r="N33" s="18"/>
      <c r="O33" s="18"/>
      <c r="P33" s="18"/>
      <c r="Q33" s="18"/>
      <c r="R33" s="18"/>
      <c r="S33" s="18"/>
      <c r="T33" s="18"/>
      <c r="U33" s="18"/>
      <c r="V33" s="18"/>
      <c r="W33" s="18"/>
      <c r="X33" s="18"/>
      <c r="Y33" s="18"/>
      <c r="Z33" s="18"/>
    </row>
    <row r="34" spans="1:26" ht="28.5" customHeight="1" x14ac:dyDescent="0.2">
      <c r="A34" s="95"/>
      <c r="B34" s="95"/>
      <c r="C34" s="22" t="s">
        <v>111</v>
      </c>
      <c r="D34" s="142"/>
      <c r="E34" s="91"/>
      <c r="F34" s="91"/>
      <c r="G34" s="91"/>
      <c r="H34" s="92"/>
      <c r="I34" s="18"/>
      <c r="J34" s="18"/>
      <c r="K34" s="18"/>
      <c r="L34" s="18"/>
      <c r="M34" s="18"/>
      <c r="N34" s="18"/>
      <c r="O34" s="18"/>
      <c r="P34" s="18"/>
      <c r="Q34" s="18"/>
      <c r="R34" s="18"/>
      <c r="S34" s="18"/>
      <c r="T34" s="18"/>
      <c r="U34" s="18"/>
      <c r="V34" s="18"/>
      <c r="W34" s="18"/>
      <c r="X34" s="18"/>
      <c r="Y34" s="18"/>
      <c r="Z34" s="18"/>
    </row>
    <row r="35" spans="1:26" ht="28.5" customHeight="1" x14ac:dyDescent="0.2">
      <c r="A35" s="95"/>
      <c r="B35" s="95"/>
      <c r="C35" s="22" t="s">
        <v>113</v>
      </c>
      <c r="D35" s="142"/>
      <c r="E35" s="91"/>
      <c r="F35" s="91"/>
      <c r="G35" s="91"/>
      <c r="H35" s="92"/>
      <c r="I35" s="18"/>
      <c r="J35" s="18"/>
      <c r="K35" s="18"/>
      <c r="L35" s="18"/>
      <c r="M35" s="18"/>
      <c r="N35" s="18"/>
      <c r="O35" s="18"/>
      <c r="P35" s="18"/>
      <c r="Q35" s="18"/>
      <c r="R35" s="18"/>
      <c r="S35" s="18"/>
      <c r="T35" s="18"/>
      <c r="U35" s="18"/>
      <c r="V35" s="18"/>
      <c r="W35" s="18"/>
      <c r="X35" s="18"/>
      <c r="Y35" s="18"/>
      <c r="Z35" s="18"/>
    </row>
    <row r="36" spans="1:26" ht="28.5" customHeight="1" x14ac:dyDescent="0.2">
      <c r="A36" s="95"/>
      <c r="B36" s="95"/>
      <c r="C36" s="22" t="s">
        <v>116</v>
      </c>
      <c r="D36" s="142"/>
      <c r="E36" s="91"/>
      <c r="F36" s="91"/>
      <c r="G36" s="91"/>
      <c r="H36" s="92"/>
      <c r="I36" s="18"/>
      <c r="J36" s="18"/>
      <c r="K36" s="18"/>
      <c r="L36" s="18"/>
      <c r="M36" s="18"/>
      <c r="N36" s="18"/>
      <c r="O36" s="18"/>
      <c r="P36" s="18"/>
      <c r="Q36" s="18"/>
      <c r="R36" s="18"/>
      <c r="S36" s="18"/>
      <c r="T36" s="18"/>
      <c r="U36" s="18"/>
      <c r="V36" s="18"/>
      <c r="W36" s="18"/>
      <c r="X36" s="18"/>
      <c r="Y36" s="18"/>
      <c r="Z36" s="18"/>
    </row>
    <row r="37" spans="1:26" ht="28.5" customHeight="1" x14ac:dyDescent="0.2">
      <c r="A37" s="96"/>
      <c r="B37" s="97"/>
      <c r="C37" s="22" t="s">
        <v>119</v>
      </c>
      <c r="D37" s="142"/>
      <c r="E37" s="91"/>
      <c r="F37" s="91"/>
      <c r="G37" s="91"/>
      <c r="H37" s="92"/>
      <c r="I37" s="18"/>
      <c r="J37" s="18"/>
      <c r="K37" s="18"/>
      <c r="L37" s="18"/>
      <c r="M37" s="18"/>
      <c r="N37" s="18"/>
      <c r="O37" s="18"/>
      <c r="P37" s="18"/>
      <c r="Q37" s="18"/>
      <c r="R37" s="18"/>
      <c r="S37" s="18"/>
      <c r="T37" s="18"/>
      <c r="U37" s="18"/>
      <c r="V37" s="18"/>
      <c r="W37" s="18"/>
      <c r="X37" s="18"/>
      <c r="Y37" s="18"/>
      <c r="Z37" s="18"/>
    </row>
    <row r="38" spans="1:26" ht="53.25" customHeight="1" x14ac:dyDescent="0.2">
      <c r="A38" s="26" t="s">
        <v>122</v>
      </c>
      <c r="B38" s="143" t="s">
        <v>302</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268</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269</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270</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38.25" customHeight="1" x14ac:dyDescent="0.2">
      <c r="A42" s="26" t="s">
        <v>140</v>
      </c>
      <c r="B42" s="152" t="s">
        <v>303</v>
      </c>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57.75" customHeight="1" x14ac:dyDescent="0.2">
      <c r="A43" s="30" t="s">
        <v>144</v>
      </c>
      <c r="B43" s="153" t="s">
        <v>304</v>
      </c>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48.75" customHeight="1" x14ac:dyDescent="0.2">
      <c r="A44" s="30" t="s">
        <v>147</v>
      </c>
      <c r="B44" s="153" t="s">
        <v>305</v>
      </c>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49.5" customHeight="1" x14ac:dyDescent="0.2">
      <c r="A45" s="30" t="s">
        <v>150</v>
      </c>
      <c r="B45" s="153" t="s">
        <v>306</v>
      </c>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60" customHeight="1"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64.5" customHeight="1" x14ac:dyDescent="0.2">
      <c r="A47" s="95"/>
      <c r="B47" s="32" t="s">
        <v>154</v>
      </c>
      <c r="C47" s="145"/>
      <c r="D47" s="91"/>
      <c r="E47" s="91"/>
      <c r="F47" s="91"/>
      <c r="G47" s="91"/>
      <c r="H47" s="92"/>
      <c r="I47" s="18"/>
      <c r="J47" s="18"/>
      <c r="K47" s="18"/>
      <c r="L47" s="18"/>
      <c r="M47" s="18"/>
      <c r="N47" s="18"/>
      <c r="O47" s="18"/>
      <c r="P47" s="18"/>
      <c r="Q47" s="18"/>
      <c r="R47" s="18"/>
      <c r="S47" s="18"/>
      <c r="T47" s="18"/>
      <c r="U47" s="18"/>
      <c r="V47" s="18"/>
      <c r="W47" s="18"/>
      <c r="X47" s="18"/>
      <c r="Y47" s="18"/>
      <c r="Z47" s="18"/>
    </row>
    <row r="48" spans="1:26" ht="39.75" customHeight="1"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156</v>
      </c>
      <c r="B49" s="155" t="s">
        <v>158</v>
      </c>
      <c r="C49" s="146" t="s">
        <v>159</v>
      </c>
      <c r="D49" s="92"/>
      <c r="E49" s="147" t="s">
        <v>161</v>
      </c>
      <c r="F49" s="148" t="s">
        <v>162</v>
      </c>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v>46241</v>
      </c>
      <c r="D50" s="92"/>
      <c r="E50" s="97"/>
      <c r="F50" s="114"/>
      <c r="G50" s="134"/>
      <c r="H50" s="37">
        <v>46241</v>
      </c>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t="s">
        <v>179</v>
      </c>
      <c r="D53" s="91"/>
      <c r="E53" s="91"/>
      <c r="F53" s="92"/>
      <c r="G53" s="43" t="s">
        <v>180</v>
      </c>
      <c r="H53" s="37">
        <v>46241</v>
      </c>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51"/>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D37:H37"/>
    <mergeCell ref="B38:H38"/>
    <mergeCell ref="C39:H39"/>
    <mergeCell ref="C40:H40"/>
    <mergeCell ref="C41:H41"/>
    <mergeCell ref="D32:H32"/>
    <mergeCell ref="D33:H33"/>
    <mergeCell ref="D34:H34"/>
    <mergeCell ref="D35:H35"/>
    <mergeCell ref="D36:H36"/>
    <mergeCell ref="D27:H27"/>
    <mergeCell ref="D28:H28"/>
    <mergeCell ref="D29:H29"/>
    <mergeCell ref="D30:H30"/>
    <mergeCell ref="D31:H31"/>
    <mergeCell ref="D22:H22"/>
    <mergeCell ref="D23:H23"/>
    <mergeCell ref="D24:H24"/>
    <mergeCell ref="D25:H25"/>
    <mergeCell ref="D26:H26"/>
    <mergeCell ref="D17:H17"/>
    <mergeCell ref="D18:H18"/>
    <mergeCell ref="D19:H19"/>
    <mergeCell ref="D20:H20"/>
    <mergeCell ref="D21:H21"/>
    <mergeCell ref="B12:H12"/>
    <mergeCell ref="D13:H13"/>
    <mergeCell ref="D14:H14"/>
    <mergeCell ref="D15:H15"/>
    <mergeCell ref="D16:H16"/>
    <mergeCell ref="A51:H51"/>
    <mergeCell ref="C52:F52"/>
    <mergeCell ref="C53:F53"/>
    <mergeCell ref="A1:B2"/>
    <mergeCell ref="C1:G1"/>
    <mergeCell ref="H1:H2"/>
    <mergeCell ref="C2:G2"/>
    <mergeCell ref="B3:H3"/>
    <mergeCell ref="B4:F4"/>
    <mergeCell ref="B5:F5"/>
    <mergeCell ref="B6:H6"/>
    <mergeCell ref="B7:H7"/>
    <mergeCell ref="B8:H8"/>
    <mergeCell ref="B9:H9"/>
    <mergeCell ref="B10:H10"/>
    <mergeCell ref="B11:H11"/>
    <mergeCell ref="A39:A41"/>
    <mergeCell ref="A46:A48"/>
    <mergeCell ref="A49:A50"/>
    <mergeCell ref="B49:B50"/>
    <mergeCell ref="C48:H48"/>
    <mergeCell ref="C49:D49"/>
    <mergeCell ref="E49:E50"/>
    <mergeCell ref="F49:G50"/>
    <mergeCell ref="C50:D50"/>
    <mergeCell ref="B42:H42"/>
    <mergeCell ref="B43:H43"/>
    <mergeCell ref="B44:H44"/>
    <mergeCell ref="B45:H45"/>
    <mergeCell ref="C46:H46"/>
    <mergeCell ref="C47:H47"/>
    <mergeCell ref="A13:A37"/>
    <mergeCell ref="B13:B17"/>
    <mergeCell ref="B18:B22"/>
    <mergeCell ref="B23:B27"/>
    <mergeCell ref="B28:B32"/>
    <mergeCell ref="B33:B37"/>
  </mergeCells>
  <pageMargins left="0.7" right="0.7" top="0.75" bottom="0.75" header="0" footer="0"/>
  <pageSetup orientation="landscape"/>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showGridLines="0" workbookViewId="0">
      <selection sqref="A1:C3"/>
    </sheetView>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1" customWidth="1"/>
    <col min="6" max="6" width="18.7109375" customWidth="1"/>
    <col min="7" max="8" width="10.7109375" customWidth="1"/>
    <col min="9" max="26" width="10.5703125" customWidth="1"/>
  </cols>
  <sheetData>
    <row r="1" spans="1:9" ht="12.75" customHeight="1" x14ac:dyDescent="0.2">
      <c r="A1" s="132"/>
      <c r="B1" s="111"/>
      <c r="C1" s="133"/>
      <c r="D1" s="135" t="s">
        <v>0</v>
      </c>
      <c r="E1" s="111"/>
      <c r="F1" s="111"/>
      <c r="G1" s="111"/>
      <c r="H1" s="132"/>
      <c r="I1" s="133"/>
    </row>
    <row r="2" spans="1:9" ht="12.75" customHeight="1" x14ac:dyDescent="0.2">
      <c r="A2" s="112"/>
      <c r="B2" s="113"/>
      <c r="C2" s="157"/>
      <c r="D2" s="137" t="s">
        <v>2</v>
      </c>
      <c r="E2" s="91"/>
      <c r="F2" s="91"/>
      <c r="G2" s="91"/>
      <c r="H2" s="112"/>
      <c r="I2" s="157"/>
    </row>
    <row r="3" spans="1:9" ht="31.5" customHeight="1" x14ac:dyDescent="0.2">
      <c r="A3" s="114"/>
      <c r="B3" s="115"/>
      <c r="C3" s="134"/>
      <c r="D3" s="137" t="s">
        <v>3</v>
      </c>
      <c r="E3" s="91"/>
      <c r="F3" s="91"/>
      <c r="G3" s="92"/>
      <c r="H3" s="114"/>
      <c r="I3" s="134"/>
    </row>
    <row r="4" spans="1:9" ht="12.75" customHeight="1" x14ac:dyDescent="0.2">
      <c r="A4" s="2"/>
      <c r="B4" s="138" t="str">
        <f>+'MODULO 5'!B3:H3</f>
        <v>Código: CEC-RCYC-02;Revisión: 02</v>
      </c>
      <c r="C4" s="111"/>
      <c r="D4" s="111"/>
      <c r="E4" s="111"/>
      <c r="F4" s="111"/>
      <c r="G4" s="111"/>
      <c r="H4" s="111"/>
      <c r="I4" s="111"/>
    </row>
    <row r="5" spans="1:9" ht="12.75" customHeight="1" x14ac:dyDescent="0.2">
      <c r="A5" s="6" t="s">
        <v>7</v>
      </c>
      <c r="B5" s="162" t="str">
        <f>+'RESUMEN DIPLOMADO'!D3</f>
        <v>DIPLOMADO EN BIG DATA E INTELIGENCIA ARTIFICIAL</v>
      </c>
      <c r="C5" s="91"/>
      <c r="D5" s="91"/>
      <c r="E5" s="91"/>
      <c r="F5" s="92"/>
      <c r="G5" s="58" t="s">
        <v>9</v>
      </c>
      <c r="H5" s="158" t="str">
        <f>+'RESUMEN DIPLOMADO'!M3</f>
        <v>150 horas
120 horas sincrónicas y
30 horas asincrónicas</v>
      </c>
      <c r="I5" s="92"/>
    </row>
    <row r="6" spans="1:9" ht="12.75" customHeight="1" x14ac:dyDescent="0.2">
      <c r="A6" s="6" t="s">
        <v>12</v>
      </c>
      <c r="B6" s="163" t="str">
        <f>+'MODULO 5'!B5:F5</f>
        <v>MÓDULO 5. ECONOMETRÍA Y FORECASTING CON IA</v>
      </c>
      <c r="C6" s="115"/>
      <c r="D6" s="115"/>
      <c r="E6" s="115"/>
      <c r="F6" s="134"/>
      <c r="G6" s="58" t="s">
        <v>9</v>
      </c>
      <c r="H6" s="158" t="str">
        <f>+'MODULO 5'!H5</f>
        <v>25 horas
(20 horas sincrónicas y 5 horas asincrónicas)</v>
      </c>
      <c r="I6" s="92"/>
    </row>
    <row r="7" spans="1:9" ht="30" customHeight="1" x14ac:dyDescent="0.2">
      <c r="A7" s="15" t="s">
        <v>18</v>
      </c>
      <c r="B7" s="165" t="s">
        <v>20</v>
      </c>
      <c r="C7" s="91"/>
      <c r="D7" s="91"/>
      <c r="E7" s="91"/>
      <c r="F7" s="91"/>
      <c r="G7" s="91"/>
      <c r="H7" s="91"/>
      <c r="I7" s="92"/>
    </row>
    <row r="8" spans="1:9" ht="30.75" customHeight="1" x14ac:dyDescent="0.2">
      <c r="A8" s="15" t="s">
        <v>23</v>
      </c>
      <c r="B8" s="165" t="str">
        <f>+'MODULO 5'!B11:H11</f>
        <v>Construir modelos econométricos y de forecasting mediante técnicas estadísticas y machine learning en contextos económicos, para mejorar predicción y análisis de variables macroeconómicas.</v>
      </c>
      <c r="C8" s="91"/>
      <c r="D8" s="91"/>
      <c r="E8" s="91"/>
      <c r="F8" s="91"/>
      <c r="G8" s="91"/>
      <c r="H8" s="91"/>
      <c r="I8" s="92"/>
    </row>
    <row r="9" spans="1:9" ht="52.5" customHeight="1" x14ac:dyDescent="0.2">
      <c r="A9" s="15" t="s">
        <v>30</v>
      </c>
      <c r="B9" s="165" t="str">
        <f>+'MODULO 5'!B12:H12</f>
        <v>U1. Analizar series temporales mediante modelos econométricos en escenarios económicos para generar proyecciones.
U2. Aplicar modelos ARIMA mediante herramientas analíticas en forecasting económico para estimar tendencias.
U3. Integrar machine learning mediante técnicas predictivas en modelos econométricos para optimizar precisión.
U4. Evaluar desempeño predictivo mediante métricas analíticas en proyecciones económicas para validar resultados.
U5. Desarrollar modelos híbridos mediante casos institucionales para fortalecer análisis macroeconómico.</v>
      </c>
      <c r="C9" s="91"/>
      <c r="D9" s="91"/>
      <c r="E9" s="91"/>
      <c r="F9" s="91"/>
      <c r="G9" s="91"/>
      <c r="H9" s="91"/>
      <c r="I9" s="92"/>
    </row>
    <row r="10" spans="1:9" ht="12.75" customHeight="1" x14ac:dyDescent="0.2">
      <c r="A10" s="166" t="str">
        <f>+'MODULO 5'!B13</f>
        <v>Unidad 1. Series de Tiempo (5 horas)</v>
      </c>
      <c r="B10" s="20" t="s">
        <v>36</v>
      </c>
      <c r="C10" s="20" t="s">
        <v>37</v>
      </c>
      <c r="D10" s="159" t="s">
        <v>41</v>
      </c>
      <c r="E10" s="91"/>
      <c r="F10" s="92"/>
      <c r="G10" s="159" t="s">
        <v>43</v>
      </c>
      <c r="H10" s="92"/>
      <c r="I10" s="70" t="s">
        <v>44</v>
      </c>
    </row>
    <row r="11" spans="1:9" ht="15" customHeight="1" x14ac:dyDescent="0.2">
      <c r="A11" s="95"/>
      <c r="B11" s="20">
        <v>1</v>
      </c>
      <c r="C11" s="21"/>
      <c r="D11" s="23" t="s">
        <v>47</v>
      </c>
      <c r="E11" s="160" t="str">
        <f>+'MODULO 5'!D13</f>
        <v>Componentes de series.</v>
      </c>
      <c r="F11" s="92"/>
      <c r="G11" s="71"/>
      <c r="H11" s="71"/>
      <c r="I11" s="72"/>
    </row>
    <row r="12" spans="1:9" ht="15" customHeight="1" x14ac:dyDescent="0.2">
      <c r="A12" s="95"/>
      <c r="B12" s="20">
        <v>2</v>
      </c>
      <c r="C12" s="20"/>
      <c r="D12" s="23" t="s">
        <v>49</v>
      </c>
      <c r="E12" s="160" t="str">
        <f>+'MODULO 5'!D14</f>
        <v>Estacionalidad.</v>
      </c>
      <c r="F12" s="92"/>
      <c r="G12" s="161"/>
      <c r="H12" s="92"/>
      <c r="I12" s="73"/>
    </row>
    <row r="13" spans="1:9" ht="15" customHeight="1" x14ac:dyDescent="0.2">
      <c r="A13" s="95"/>
      <c r="B13" s="20">
        <v>3</v>
      </c>
      <c r="C13" s="20"/>
      <c r="D13" s="23" t="s">
        <v>52</v>
      </c>
      <c r="E13" s="160" t="str">
        <f>+'MODULO 5'!D15</f>
        <v>Tendencia.</v>
      </c>
      <c r="F13" s="92"/>
      <c r="G13" s="161"/>
      <c r="H13" s="92"/>
      <c r="I13" s="66"/>
    </row>
    <row r="14" spans="1:9" ht="15" customHeight="1" x14ac:dyDescent="0.2">
      <c r="A14" s="95"/>
      <c r="B14" s="20"/>
      <c r="C14" s="20"/>
      <c r="D14" s="23" t="s">
        <v>55</v>
      </c>
      <c r="E14" s="160" t="str">
        <f>+'MODULO 5'!D16</f>
        <v>Estacionariedad.</v>
      </c>
      <c r="F14" s="92"/>
      <c r="G14" s="161"/>
      <c r="H14" s="92"/>
      <c r="I14" s="66"/>
    </row>
    <row r="15" spans="1:9" ht="15" customHeight="1" x14ac:dyDescent="0.2">
      <c r="A15" s="96"/>
      <c r="B15" s="20"/>
      <c r="C15" s="20"/>
      <c r="D15" s="23" t="s">
        <v>57</v>
      </c>
      <c r="E15" s="160" t="str">
        <f>+'MODULO 5'!D17</f>
        <v>Visualización temporal.</v>
      </c>
      <c r="F15" s="92"/>
      <c r="G15" s="161"/>
      <c r="H15" s="92"/>
      <c r="I15" s="66"/>
    </row>
    <row r="16" spans="1:9" ht="15" customHeight="1" x14ac:dyDescent="0.2">
      <c r="A16" s="166" t="str">
        <f>+'MODULO 5'!B18</f>
        <v>Unidad 2. Modelos Econométricos (5 horas)</v>
      </c>
      <c r="B16" s="20"/>
      <c r="C16" s="20"/>
      <c r="D16" s="23" t="s">
        <v>61</v>
      </c>
      <c r="E16" s="160" t="str">
        <f>+'MODULO 5'!D18</f>
        <v>Regresión econométrica.</v>
      </c>
      <c r="F16" s="92"/>
      <c r="G16" s="161"/>
      <c r="H16" s="92"/>
      <c r="I16" s="66"/>
    </row>
    <row r="17" spans="1:9" ht="15" customHeight="1" x14ac:dyDescent="0.2">
      <c r="A17" s="95"/>
      <c r="B17" s="20"/>
      <c r="C17" s="20"/>
      <c r="D17" s="23" t="s">
        <v>64</v>
      </c>
      <c r="E17" s="160" t="str">
        <f>+'MODULO 5'!D19</f>
        <v>Modelos ARIMA.</v>
      </c>
      <c r="F17" s="92"/>
      <c r="G17" s="161"/>
      <c r="H17" s="92"/>
      <c r="I17" s="66"/>
    </row>
    <row r="18" spans="1:9" ht="15" customHeight="1" x14ac:dyDescent="0.2">
      <c r="A18" s="95"/>
      <c r="B18" s="20"/>
      <c r="C18" s="20"/>
      <c r="D18" s="23" t="s">
        <v>66</v>
      </c>
      <c r="E18" s="160" t="str">
        <f>+'MODULO 5'!D20</f>
        <v>VAR.</v>
      </c>
      <c r="F18" s="92"/>
      <c r="G18" s="161"/>
      <c r="H18" s="92"/>
      <c r="I18" s="66"/>
    </row>
    <row r="19" spans="1:9" ht="15" customHeight="1" x14ac:dyDescent="0.2">
      <c r="A19" s="95"/>
      <c r="B19" s="20"/>
      <c r="C19" s="20"/>
      <c r="D19" s="23" t="s">
        <v>69</v>
      </c>
      <c r="E19" s="160" t="str">
        <f>+'MODULO 5'!D21</f>
        <v>Cointegración.</v>
      </c>
      <c r="F19" s="92"/>
      <c r="G19" s="161"/>
      <c r="H19" s="92"/>
      <c r="I19" s="66"/>
    </row>
    <row r="20" spans="1:9" ht="15" customHeight="1" x14ac:dyDescent="0.2">
      <c r="A20" s="96"/>
      <c r="B20" s="20"/>
      <c r="C20" s="20"/>
      <c r="D20" s="23" t="s">
        <v>72</v>
      </c>
      <c r="E20" s="160" t="str">
        <f>+'MODULO 5'!D22</f>
        <v>Evaluación estadística.</v>
      </c>
      <c r="F20" s="92"/>
      <c r="G20" s="161"/>
      <c r="H20" s="92"/>
      <c r="I20" s="66"/>
    </row>
    <row r="21" spans="1:9" ht="15" customHeight="1" x14ac:dyDescent="0.2">
      <c r="A21" s="166" t="str">
        <f>+'MODULO 5'!B23</f>
        <v>Unidad 3. Forecasting con IA (5 horas)</v>
      </c>
      <c r="B21" s="20"/>
      <c r="C21" s="20"/>
      <c r="D21" s="23" t="s">
        <v>76</v>
      </c>
      <c r="E21" s="160" t="str">
        <f>+'MODULO 5'!D23</f>
        <v>Modelos predictivos.</v>
      </c>
      <c r="F21" s="92"/>
      <c r="G21" s="161"/>
      <c r="H21" s="92"/>
      <c r="I21" s="66"/>
    </row>
    <row r="22" spans="1:9" ht="15" customHeight="1" x14ac:dyDescent="0.2">
      <c r="A22" s="95"/>
      <c r="B22" s="20"/>
      <c r="C22" s="20"/>
      <c r="D22" s="23" t="s">
        <v>78</v>
      </c>
      <c r="E22" s="160" t="str">
        <f>+'MODULO 5'!D24</f>
        <v>Forecasting híbrido.</v>
      </c>
      <c r="F22" s="92"/>
      <c r="G22" s="161"/>
      <c r="H22" s="92"/>
      <c r="I22" s="66"/>
    </row>
    <row r="23" spans="1:9" ht="15" customHeight="1" x14ac:dyDescent="0.2">
      <c r="A23" s="95"/>
      <c r="B23" s="20"/>
      <c r="C23" s="20"/>
      <c r="D23" s="23" t="s">
        <v>81</v>
      </c>
      <c r="E23" s="160" t="str">
        <f>+'MODULO 5'!D25</f>
        <v>Redes neuronales básicas.</v>
      </c>
      <c r="F23" s="92"/>
      <c r="G23" s="161"/>
      <c r="H23" s="92"/>
      <c r="I23" s="66"/>
    </row>
    <row r="24" spans="1:9" ht="15" customHeight="1" x14ac:dyDescent="0.2">
      <c r="A24" s="95"/>
      <c r="B24" s="20"/>
      <c r="C24" s="20"/>
      <c r="D24" s="23" t="s">
        <v>85</v>
      </c>
      <c r="E24" s="160" t="str">
        <f>+'MODULO 5'!D26</f>
        <v>Evaluación predictiva.</v>
      </c>
      <c r="F24" s="92"/>
      <c r="G24" s="161"/>
      <c r="H24" s="92"/>
      <c r="I24" s="66"/>
    </row>
    <row r="25" spans="1:9" ht="15" customHeight="1" x14ac:dyDescent="0.2">
      <c r="A25" s="96"/>
      <c r="B25" s="20"/>
      <c r="C25" s="20"/>
      <c r="D25" s="23" t="s">
        <v>87</v>
      </c>
      <c r="E25" s="160" t="str">
        <f>+'MODULO 5'!D27</f>
        <v>Optimización de modelos.</v>
      </c>
      <c r="F25" s="92"/>
      <c r="G25" s="161"/>
      <c r="H25" s="92"/>
      <c r="I25" s="66"/>
    </row>
    <row r="26" spans="1:9" ht="12.75" customHeight="1" x14ac:dyDescent="0.2">
      <c r="A26" s="166" t="str">
        <f>+'MODULO 5'!B28</f>
        <v>Unidad 4. Pronóstico Macroeconómico (5 horas)</v>
      </c>
      <c r="B26" s="20"/>
      <c r="C26" s="20"/>
      <c r="D26" s="23" t="s">
        <v>92</v>
      </c>
      <c r="E26" s="160" t="str">
        <f>+'MODULO 5'!D28</f>
        <v>PIB.</v>
      </c>
      <c r="F26" s="92"/>
      <c r="G26" s="161"/>
      <c r="H26" s="92"/>
      <c r="I26" s="66"/>
    </row>
    <row r="27" spans="1:9" ht="12.75" customHeight="1" x14ac:dyDescent="0.2">
      <c r="A27" s="95"/>
      <c r="B27" s="20"/>
      <c r="C27" s="20"/>
      <c r="D27" s="23" t="s">
        <v>95</v>
      </c>
      <c r="E27" s="160" t="str">
        <f>+'MODULO 5'!D29</f>
        <v>Inflación.
Comercio exterior.
Inversión pública y privada.
Consumo de hogares.</v>
      </c>
      <c r="F27" s="92"/>
      <c r="G27" s="161"/>
      <c r="H27" s="92"/>
      <c r="I27" s="66"/>
    </row>
    <row r="28" spans="1:9" ht="12.75" customHeight="1" x14ac:dyDescent="0.2">
      <c r="A28" s="95"/>
      <c r="B28" s="20"/>
      <c r="C28" s="20"/>
      <c r="D28" s="23" t="s">
        <v>98</v>
      </c>
      <c r="E28" s="160">
        <f>+'MODULO 5'!D30</f>
        <v>0</v>
      </c>
      <c r="F28" s="92"/>
      <c r="G28" s="161"/>
      <c r="H28" s="92"/>
      <c r="I28" s="66"/>
    </row>
    <row r="29" spans="1:9" ht="12.75" customHeight="1" x14ac:dyDescent="0.2">
      <c r="A29" s="95"/>
      <c r="B29" s="20"/>
      <c r="C29" s="20"/>
      <c r="D29" s="23" t="s">
        <v>101</v>
      </c>
      <c r="E29" s="160">
        <f>+'MODULO 5'!D31</f>
        <v>0</v>
      </c>
      <c r="F29" s="92"/>
      <c r="G29" s="161"/>
      <c r="H29" s="92"/>
      <c r="I29" s="66"/>
    </row>
    <row r="30" spans="1:9" ht="12.75" customHeight="1" x14ac:dyDescent="0.2">
      <c r="A30" s="96"/>
      <c r="B30" s="20"/>
      <c r="C30" s="20"/>
      <c r="D30" s="23" t="s">
        <v>104</v>
      </c>
      <c r="E30" s="160">
        <f>+'MODULO 5'!D32</f>
        <v>0</v>
      </c>
      <c r="F30" s="92"/>
      <c r="G30" s="161"/>
      <c r="H30" s="92"/>
      <c r="I30" s="66"/>
    </row>
    <row r="31" spans="1:9" ht="12.75" customHeight="1" x14ac:dyDescent="0.2">
      <c r="A31" s="166" t="str">
        <f>+'MODULO 5'!B33</f>
        <v>Unidad 5. Taller de Forecasting (5 horas)</v>
      </c>
      <c r="B31" s="20"/>
      <c r="C31" s="20"/>
      <c r="D31" s="23" t="s">
        <v>108</v>
      </c>
      <c r="E31" s="160" t="str">
        <f>+'MODULO 5'!D33</f>
        <v>Construcción de modelos.
Comparación predictiva.
Automatización de forecasting.
Visualización de resultados.
Presentación ejecutiva.</v>
      </c>
      <c r="F31" s="92"/>
      <c r="G31" s="161"/>
      <c r="H31" s="92"/>
      <c r="I31" s="66"/>
    </row>
    <row r="32" spans="1:9" ht="12.75" customHeight="1" x14ac:dyDescent="0.2">
      <c r="A32" s="95"/>
      <c r="B32" s="20"/>
      <c r="C32" s="20"/>
      <c r="D32" s="23" t="s">
        <v>111</v>
      </c>
      <c r="E32" s="160">
        <f>+'MODULO 5'!D34</f>
        <v>0</v>
      </c>
      <c r="F32" s="92"/>
      <c r="G32" s="161"/>
      <c r="H32" s="92"/>
      <c r="I32" s="66"/>
    </row>
    <row r="33" spans="1:9" ht="12.75" customHeight="1" x14ac:dyDescent="0.2">
      <c r="A33" s="95"/>
      <c r="B33" s="20"/>
      <c r="C33" s="20"/>
      <c r="D33" s="23" t="s">
        <v>113</v>
      </c>
      <c r="E33" s="160">
        <f>+'MODULO 5'!D35</f>
        <v>0</v>
      </c>
      <c r="F33" s="92"/>
      <c r="G33" s="161"/>
      <c r="H33" s="92"/>
      <c r="I33" s="66"/>
    </row>
    <row r="34" spans="1:9" ht="12.75" customHeight="1" x14ac:dyDescent="0.2">
      <c r="A34" s="95"/>
      <c r="B34" s="20"/>
      <c r="C34" s="20"/>
      <c r="D34" s="23" t="s">
        <v>116</v>
      </c>
      <c r="E34" s="160">
        <f>+'MODULO 5'!D36</f>
        <v>0</v>
      </c>
      <c r="F34" s="92"/>
      <c r="G34" s="161"/>
      <c r="H34" s="92"/>
      <c r="I34" s="66"/>
    </row>
    <row r="35" spans="1:9" ht="12.75" customHeight="1" x14ac:dyDescent="0.2">
      <c r="A35" s="96"/>
      <c r="B35" s="20"/>
      <c r="C35" s="20"/>
      <c r="D35" s="23" t="s">
        <v>119</v>
      </c>
      <c r="E35" s="160">
        <f>+'MODULO 5'!D37</f>
        <v>0</v>
      </c>
      <c r="F35" s="92"/>
      <c r="G35" s="161"/>
      <c r="H35" s="92"/>
      <c r="I35" s="66"/>
    </row>
    <row r="36" spans="1:9" ht="53.25" customHeight="1" x14ac:dyDescent="0.2">
      <c r="A36" s="36" t="s">
        <v>140</v>
      </c>
      <c r="B36" s="170" t="str">
        <f>+'MODULO 5'!B42:H42</f>
        <v>Hyndman, R., &amp; Athanasopoulos, G. (2023). Forecasting: Principles and Practice. https://otexts.com/fpp3/
Wooldridge, J. (2021). Introductory Econometrics. Cengage Learning. https://www.cengage.com
Hamilton, J. (2020). Time Series Analysis. Princeton University Press. https://press.princeton.edu</v>
      </c>
      <c r="C36" s="91"/>
      <c r="D36" s="91"/>
      <c r="E36" s="91"/>
      <c r="F36" s="91"/>
      <c r="G36" s="91"/>
      <c r="H36" s="91"/>
      <c r="I36" s="92"/>
    </row>
    <row r="37" spans="1:9" ht="12.75" customHeight="1" x14ac:dyDescent="0.2">
      <c r="A37" s="175" t="s">
        <v>167</v>
      </c>
      <c r="B37" s="168" t="s">
        <v>44</v>
      </c>
      <c r="C37" s="91"/>
      <c r="D37" s="92"/>
      <c r="E37" s="168" t="s">
        <v>171</v>
      </c>
      <c r="F37" s="92"/>
      <c r="G37" s="39" t="s">
        <v>172</v>
      </c>
      <c r="H37" s="39" t="s">
        <v>176</v>
      </c>
      <c r="I37" s="39" t="s">
        <v>177</v>
      </c>
    </row>
    <row r="38" spans="1:9" ht="12.75" customHeight="1" x14ac:dyDescent="0.2">
      <c r="A38" s="95"/>
      <c r="B38" s="169"/>
      <c r="C38" s="91"/>
      <c r="D38" s="92"/>
      <c r="E38" s="169"/>
      <c r="F38" s="92"/>
      <c r="G38" s="42"/>
      <c r="H38" s="42"/>
      <c r="I38" s="47">
        <f t="shared" ref="I38:I42" si="0">+G38*H38</f>
        <v>0</v>
      </c>
    </row>
    <row r="39" spans="1:9" ht="12.75" customHeight="1" x14ac:dyDescent="0.2">
      <c r="A39" s="95"/>
      <c r="B39" s="169"/>
      <c r="C39" s="91"/>
      <c r="D39" s="92"/>
      <c r="E39" s="169"/>
      <c r="F39" s="92"/>
      <c r="G39" s="42"/>
      <c r="H39" s="42"/>
      <c r="I39" s="47">
        <f t="shared" si="0"/>
        <v>0</v>
      </c>
    </row>
    <row r="40" spans="1:9" ht="12.75" customHeight="1" x14ac:dyDescent="0.2">
      <c r="A40" s="95"/>
      <c r="B40" s="169"/>
      <c r="C40" s="91"/>
      <c r="D40" s="92"/>
      <c r="E40" s="169"/>
      <c r="F40" s="92"/>
      <c r="G40" s="42"/>
      <c r="H40" s="42"/>
      <c r="I40" s="47">
        <f t="shared" si="0"/>
        <v>0</v>
      </c>
    </row>
    <row r="41" spans="1:9" ht="12.75" customHeight="1" x14ac:dyDescent="0.2">
      <c r="A41" s="95"/>
      <c r="B41" s="169"/>
      <c r="C41" s="91"/>
      <c r="D41" s="92"/>
      <c r="E41" s="169"/>
      <c r="F41" s="92"/>
      <c r="G41" s="42"/>
      <c r="H41" s="42"/>
      <c r="I41" s="47">
        <f t="shared" si="0"/>
        <v>0</v>
      </c>
    </row>
    <row r="42" spans="1:9" ht="12.75" customHeight="1" x14ac:dyDescent="0.2">
      <c r="A42" s="95"/>
      <c r="B42" s="169"/>
      <c r="C42" s="91"/>
      <c r="D42" s="92"/>
      <c r="E42" s="169"/>
      <c r="F42" s="92"/>
      <c r="G42" s="42"/>
      <c r="H42" s="42"/>
      <c r="I42" s="47">
        <f t="shared" si="0"/>
        <v>0</v>
      </c>
    </row>
    <row r="43" spans="1:9" ht="12.75" customHeight="1" x14ac:dyDescent="0.2">
      <c r="A43" s="97"/>
      <c r="B43" s="171" t="s">
        <v>181</v>
      </c>
      <c r="C43" s="91"/>
      <c r="D43" s="91"/>
      <c r="E43" s="91"/>
      <c r="F43" s="91"/>
      <c r="G43" s="91"/>
      <c r="H43" s="92"/>
      <c r="I43" s="47">
        <f>SUM(I38:I42)</f>
        <v>0</v>
      </c>
    </row>
    <row r="44" spans="1:9" ht="12.75" customHeight="1" x14ac:dyDescent="0.2">
      <c r="A44" s="172" t="s">
        <v>182</v>
      </c>
      <c r="B44" s="173"/>
      <c r="C44" s="111"/>
      <c r="D44" s="111"/>
      <c r="E44" s="133"/>
      <c r="F44" s="50" t="s">
        <v>183</v>
      </c>
      <c r="G44" s="172" t="s">
        <v>161</v>
      </c>
      <c r="H44" s="174"/>
      <c r="I44" s="133"/>
    </row>
    <row r="45" spans="1:9" ht="12.75" customHeight="1" x14ac:dyDescent="0.2">
      <c r="A45" s="97"/>
      <c r="B45" s="114"/>
      <c r="C45" s="115"/>
      <c r="D45" s="115"/>
      <c r="E45" s="134"/>
      <c r="F45" s="52"/>
      <c r="G45" s="97"/>
      <c r="H45" s="114"/>
      <c r="I45" s="134"/>
    </row>
    <row r="46" spans="1:9" ht="12.75" customHeight="1" x14ac:dyDescent="0.2">
      <c r="A46" s="68"/>
      <c r="B46" s="68"/>
      <c r="C46" s="68"/>
      <c r="D46" s="68"/>
      <c r="E46" s="68"/>
      <c r="F46" s="68"/>
      <c r="G46" s="68"/>
      <c r="H46" s="68"/>
      <c r="I46" s="68"/>
    </row>
    <row r="47" spans="1:9" ht="12.75" customHeight="1" x14ac:dyDescent="0.2">
      <c r="A47" s="68"/>
      <c r="B47" s="68"/>
      <c r="C47" s="68"/>
      <c r="D47" s="68"/>
      <c r="E47" s="68"/>
      <c r="F47" s="68"/>
      <c r="G47" s="68"/>
      <c r="H47" s="68"/>
      <c r="I47" s="68"/>
    </row>
    <row r="48" spans="1:9" ht="12.75" customHeight="1" x14ac:dyDescent="0.2">
      <c r="A48" s="68"/>
      <c r="B48" s="68"/>
      <c r="C48" s="68"/>
      <c r="D48" s="68"/>
      <c r="E48" s="68"/>
      <c r="F48" s="68"/>
      <c r="G48" s="68"/>
      <c r="H48" s="68"/>
      <c r="I48" s="68"/>
    </row>
    <row r="49" spans="1:9" ht="12.75" customHeight="1" x14ac:dyDescent="0.2">
      <c r="A49" s="68"/>
      <c r="B49" s="68"/>
      <c r="C49" s="68"/>
      <c r="D49" s="68"/>
      <c r="E49" s="68"/>
      <c r="F49" s="68"/>
      <c r="G49" s="68"/>
      <c r="H49" s="68"/>
      <c r="I49" s="68"/>
    </row>
    <row r="50" spans="1:9" ht="12.75" customHeight="1" x14ac:dyDescent="0.2">
      <c r="A50" s="68"/>
      <c r="B50" s="68"/>
      <c r="C50" s="68"/>
      <c r="D50" s="68"/>
      <c r="E50" s="68"/>
      <c r="F50" s="68"/>
      <c r="G50" s="68"/>
      <c r="H50" s="68"/>
      <c r="I50" s="68"/>
    </row>
    <row r="51" spans="1:9" ht="12.75" customHeight="1" x14ac:dyDescent="0.2">
      <c r="A51" s="68"/>
      <c r="B51" s="68"/>
      <c r="C51" s="68"/>
      <c r="D51" s="68"/>
      <c r="E51" s="68"/>
      <c r="F51" s="68"/>
      <c r="G51" s="68"/>
      <c r="H51" s="68"/>
      <c r="I51" s="68"/>
    </row>
    <row r="52" spans="1:9" ht="12.75" customHeight="1" x14ac:dyDescent="0.2">
      <c r="A52" s="68"/>
      <c r="B52" s="68"/>
      <c r="C52" s="68"/>
      <c r="D52" s="68"/>
      <c r="E52" s="68"/>
      <c r="F52" s="68"/>
      <c r="G52" s="68"/>
      <c r="H52" s="68"/>
      <c r="I52" s="68"/>
    </row>
    <row r="53" spans="1:9" ht="12.75" customHeight="1" x14ac:dyDescent="0.2">
      <c r="A53" s="68"/>
      <c r="B53" s="68"/>
      <c r="C53" s="68"/>
      <c r="D53" s="68"/>
      <c r="E53" s="68"/>
      <c r="F53" s="68"/>
      <c r="G53" s="68"/>
      <c r="H53" s="68"/>
      <c r="I53" s="68"/>
    </row>
    <row r="54" spans="1:9" ht="12.75" customHeight="1" x14ac:dyDescent="0.2">
      <c r="A54" s="68"/>
      <c r="B54" s="68"/>
      <c r="C54" s="68"/>
      <c r="D54" s="68"/>
      <c r="E54" s="68"/>
      <c r="F54" s="68"/>
      <c r="G54" s="68"/>
      <c r="H54" s="68"/>
      <c r="I54" s="68"/>
    </row>
    <row r="55" spans="1:9" ht="12.75" customHeight="1" x14ac:dyDescent="0.2">
      <c r="A55" s="68"/>
      <c r="B55" s="68"/>
      <c r="C55" s="68"/>
      <c r="D55" s="68"/>
      <c r="E55" s="68"/>
      <c r="F55" s="68"/>
      <c r="G55" s="68"/>
      <c r="H55" s="68"/>
      <c r="I55" s="68"/>
    </row>
    <row r="56" spans="1:9" ht="12.75" customHeight="1" x14ac:dyDescent="0.2">
      <c r="A56" s="68"/>
      <c r="B56" s="68"/>
      <c r="C56" s="68"/>
      <c r="D56" s="68"/>
      <c r="E56" s="68"/>
      <c r="F56" s="68"/>
      <c r="G56" s="68"/>
      <c r="H56" s="68"/>
      <c r="I56" s="68"/>
    </row>
    <row r="57" spans="1:9" ht="12.75" customHeight="1" x14ac:dyDescent="0.2">
      <c r="A57" s="68"/>
      <c r="B57" s="68"/>
      <c r="C57" s="68"/>
      <c r="D57" s="68"/>
      <c r="E57" s="68"/>
      <c r="F57" s="68"/>
      <c r="G57" s="68"/>
      <c r="H57" s="68"/>
      <c r="I57" s="68"/>
    </row>
    <row r="58" spans="1:9" ht="12.75" customHeight="1" x14ac:dyDescent="0.2">
      <c r="A58" s="68"/>
      <c r="B58" s="68"/>
      <c r="C58" s="68"/>
      <c r="D58" s="68"/>
      <c r="E58" s="68"/>
      <c r="F58" s="68"/>
      <c r="G58" s="68"/>
      <c r="H58" s="68"/>
      <c r="I58" s="68"/>
    </row>
    <row r="59" spans="1:9" ht="12.75" customHeight="1" x14ac:dyDescent="0.2">
      <c r="A59" s="68"/>
      <c r="B59" s="68"/>
      <c r="C59" s="68"/>
      <c r="D59" s="68"/>
      <c r="E59" s="68"/>
      <c r="F59" s="68"/>
      <c r="G59" s="68"/>
      <c r="H59" s="68"/>
      <c r="I59" s="68"/>
    </row>
    <row r="60" spans="1:9" ht="12.75" customHeight="1" x14ac:dyDescent="0.2">
      <c r="A60" s="68"/>
      <c r="B60" s="68"/>
      <c r="C60" s="68"/>
      <c r="D60" s="68"/>
      <c r="E60" s="68"/>
      <c r="F60" s="68"/>
      <c r="G60" s="68"/>
      <c r="H60" s="68"/>
      <c r="I60" s="68"/>
    </row>
    <row r="61" spans="1:9" ht="12.75" customHeight="1" x14ac:dyDescent="0.2">
      <c r="A61" s="68"/>
      <c r="B61" s="68"/>
      <c r="C61" s="68"/>
      <c r="D61" s="68"/>
      <c r="E61" s="68"/>
      <c r="F61" s="68"/>
      <c r="G61" s="68"/>
      <c r="H61" s="68"/>
      <c r="I61" s="68"/>
    </row>
    <row r="62" spans="1:9" ht="12.75" customHeight="1" x14ac:dyDescent="0.2">
      <c r="A62" s="68"/>
      <c r="B62" s="68"/>
      <c r="C62" s="68"/>
      <c r="D62" s="68"/>
      <c r="E62" s="68"/>
      <c r="F62" s="68"/>
      <c r="G62" s="68"/>
      <c r="H62" s="68"/>
      <c r="I62" s="68"/>
    </row>
    <row r="63" spans="1:9" ht="12.75" customHeight="1" x14ac:dyDescent="0.2">
      <c r="A63" s="68"/>
      <c r="B63" s="68"/>
      <c r="C63" s="68"/>
      <c r="D63" s="68"/>
      <c r="E63" s="68"/>
      <c r="F63" s="68"/>
      <c r="G63" s="68"/>
      <c r="H63" s="68"/>
      <c r="I63" s="68"/>
    </row>
    <row r="64" spans="1:9" ht="12.75" customHeight="1" x14ac:dyDescent="0.2">
      <c r="A64" s="68"/>
      <c r="B64" s="68"/>
      <c r="C64" s="68"/>
      <c r="D64" s="68"/>
      <c r="E64" s="68"/>
      <c r="F64" s="68"/>
      <c r="G64" s="68"/>
      <c r="H64" s="68"/>
      <c r="I64" s="68"/>
    </row>
    <row r="65" spans="1:9" ht="12.75" customHeight="1" x14ac:dyDescent="0.2">
      <c r="A65" s="68"/>
      <c r="B65" s="68"/>
      <c r="C65" s="68"/>
      <c r="D65" s="68"/>
      <c r="E65" s="68"/>
      <c r="F65" s="68"/>
      <c r="G65" s="68"/>
      <c r="H65" s="68"/>
      <c r="I65" s="68"/>
    </row>
    <row r="66" spans="1:9" ht="12.75" customHeight="1" x14ac:dyDescent="0.2">
      <c r="A66" s="68"/>
      <c r="B66" s="68"/>
      <c r="C66" s="68"/>
      <c r="D66" s="68"/>
      <c r="E66" s="68"/>
      <c r="F66" s="68"/>
      <c r="G66" s="68"/>
      <c r="H66" s="68"/>
      <c r="I66" s="68"/>
    </row>
    <row r="67" spans="1:9" ht="12.75" customHeight="1" x14ac:dyDescent="0.2">
      <c r="A67" s="68"/>
      <c r="B67" s="68"/>
      <c r="C67" s="68"/>
      <c r="D67" s="68"/>
      <c r="E67" s="68"/>
      <c r="F67" s="68"/>
      <c r="G67" s="68"/>
      <c r="H67" s="68"/>
      <c r="I67" s="68"/>
    </row>
    <row r="68" spans="1:9" ht="12.75" customHeight="1" x14ac:dyDescent="0.2">
      <c r="A68" s="68"/>
      <c r="B68" s="68"/>
      <c r="C68" s="68"/>
      <c r="D68" s="68"/>
      <c r="E68" s="68"/>
      <c r="F68" s="68"/>
      <c r="G68" s="68"/>
      <c r="H68" s="68"/>
      <c r="I68" s="68"/>
    </row>
    <row r="69" spans="1:9" ht="12.75" customHeight="1" x14ac:dyDescent="0.2">
      <c r="A69" s="68"/>
      <c r="B69" s="68"/>
      <c r="C69" s="68"/>
      <c r="D69" s="68"/>
      <c r="E69" s="68"/>
      <c r="F69" s="68"/>
      <c r="G69" s="68"/>
      <c r="H69" s="68"/>
      <c r="I69" s="68"/>
    </row>
    <row r="70" spans="1:9" ht="12.75" customHeight="1" x14ac:dyDescent="0.2">
      <c r="A70" s="68"/>
      <c r="B70" s="68"/>
      <c r="C70" s="68"/>
      <c r="D70" s="68"/>
      <c r="E70" s="68"/>
      <c r="F70" s="68"/>
      <c r="G70" s="68"/>
      <c r="H70" s="68"/>
      <c r="I70" s="68"/>
    </row>
    <row r="71" spans="1:9" ht="12.75" customHeight="1" x14ac:dyDescent="0.2">
      <c r="A71" s="68"/>
      <c r="B71" s="68"/>
      <c r="C71" s="68"/>
      <c r="D71" s="68"/>
      <c r="E71" s="68"/>
      <c r="F71" s="68"/>
      <c r="G71" s="68"/>
      <c r="H71" s="68"/>
      <c r="I71" s="68"/>
    </row>
    <row r="72" spans="1:9" ht="12.75" customHeight="1" x14ac:dyDescent="0.2">
      <c r="A72" s="68"/>
      <c r="B72" s="68"/>
      <c r="C72" s="68"/>
      <c r="D72" s="68"/>
      <c r="E72" s="68"/>
      <c r="F72" s="68"/>
      <c r="G72" s="68"/>
      <c r="H72" s="68"/>
      <c r="I72" s="68"/>
    </row>
    <row r="73" spans="1:9" ht="12.75" customHeight="1" x14ac:dyDescent="0.2">
      <c r="A73" s="68"/>
      <c r="B73" s="68"/>
      <c r="C73" s="68"/>
      <c r="D73" s="68"/>
      <c r="E73" s="68"/>
      <c r="F73" s="68"/>
      <c r="G73" s="68"/>
      <c r="H73" s="68"/>
      <c r="I73" s="68"/>
    </row>
    <row r="74" spans="1:9" ht="12.75" customHeight="1" x14ac:dyDescent="0.2">
      <c r="A74" s="68"/>
      <c r="B74" s="68"/>
      <c r="C74" s="68"/>
      <c r="D74" s="68"/>
      <c r="E74" s="68"/>
      <c r="F74" s="68"/>
      <c r="G74" s="68"/>
      <c r="H74" s="68"/>
      <c r="I74" s="68"/>
    </row>
    <row r="75" spans="1:9" ht="12.75" customHeight="1" x14ac:dyDescent="0.2">
      <c r="A75" s="68"/>
      <c r="B75" s="68"/>
      <c r="C75" s="68"/>
      <c r="D75" s="68"/>
      <c r="E75" s="68"/>
      <c r="F75" s="68"/>
      <c r="G75" s="68"/>
      <c r="H75" s="68"/>
      <c r="I75" s="68"/>
    </row>
    <row r="76" spans="1:9" ht="12.75" customHeight="1" x14ac:dyDescent="0.2">
      <c r="A76" s="68"/>
      <c r="B76" s="68"/>
      <c r="C76" s="68"/>
      <c r="D76" s="68"/>
      <c r="E76" s="68"/>
      <c r="F76" s="68"/>
      <c r="G76" s="68"/>
      <c r="H76" s="68"/>
      <c r="I76" s="68"/>
    </row>
    <row r="77" spans="1:9" ht="12.75" customHeight="1" x14ac:dyDescent="0.2">
      <c r="A77" s="68"/>
      <c r="B77" s="68"/>
      <c r="C77" s="68"/>
      <c r="D77" s="68"/>
      <c r="E77" s="68"/>
      <c r="F77" s="68"/>
      <c r="G77" s="68"/>
      <c r="H77" s="68"/>
      <c r="I77" s="68"/>
    </row>
    <row r="78" spans="1:9" ht="12.75" customHeight="1" x14ac:dyDescent="0.2">
      <c r="A78" s="68"/>
      <c r="B78" s="68"/>
      <c r="C78" s="68"/>
      <c r="D78" s="68"/>
      <c r="E78" s="68"/>
      <c r="F78" s="68"/>
      <c r="G78" s="68"/>
      <c r="H78" s="68"/>
      <c r="I78" s="68"/>
    </row>
    <row r="79" spans="1:9" ht="12.75" customHeight="1" x14ac:dyDescent="0.2">
      <c r="A79" s="68"/>
      <c r="B79" s="68"/>
      <c r="C79" s="68"/>
      <c r="D79" s="68"/>
      <c r="E79" s="68"/>
      <c r="F79" s="68"/>
      <c r="G79" s="68"/>
      <c r="H79" s="68"/>
      <c r="I79" s="68"/>
    </row>
    <row r="80" spans="1:9" ht="12.75" customHeight="1" x14ac:dyDescent="0.2">
      <c r="A80" s="68"/>
      <c r="B80" s="68"/>
      <c r="C80" s="68"/>
      <c r="D80" s="68"/>
      <c r="E80" s="68"/>
      <c r="F80" s="68"/>
      <c r="G80" s="68"/>
      <c r="H80" s="68"/>
      <c r="I80" s="68"/>
    </row>
    <row r="81" spans="1:9" ht="12.75" customHeight="1" x14ac:dyDescent="0.2">
      <c r="A81" s="68"/>
      <c r="B81" s="68"/>
      <c r="C81" s="68"/>
      <c r="D81" s="68"/>
      <c r="E81" s="68"/>
      <c r="F81" s="68"/>
      <c r="G81" s="68"/>
      <c r="H81" s="68"/>
      <c r="I81" s="68"/>
    </row>
    <row r="82" spans="1:9" ht="12.75" customHeight="1" x14ac:dyDescent="0.2">
      <c r="A82" s="68"/>
      <c r="B82" s="68"/>
      <c r="C82" s="68"/>
      <c r="D82" s="68"/>
      <c r="E82" s="68"/>
      <c r="F82" s="68"/>
      <c r="G82" s="68"/>
      <c r="H82" s="68"/>
      <c r="I82" s="68"/>
    </row>
    <row r="83" spans="1:9" ht="12.75" customHeight="1" x14ac:dyDescent="0.2">
      <c r="A83" s="68"/>
      <c r="B83" s="68"/>
      <c r="C83" s="68"/>
      <c r="D83" s="68"/>
      <c r="E83" s="68"/>
      <c r="F83" s="68"/>
      <c r="G83" s="68"/>
      <c r="H83" s="68"/>
      <c r="I83" s="68"/>
    </row>
    <row r="84" spans="1:9" ht="12.75" customHeight="1" x14ac:dyDescent="0.2">
      <c r="A84" s="68"/>
      <c r="B84" s="68"/>
      <c r="C84" s="68"/>
      <c r="D84" s="68"/>
      <c r="E84" s="68"/>
      <c r="F84" s="68"/>
      <c r="G84" s="68"/>
      <c r="H84" s="68"/>
      <c r="I84" s="68"/>
    </row>
    <row r="85" spans="1:9" ht="12.75" customHeight="1" x14ac:dyDescent="0.2">
      <c r="A85" s="68"/>
      <c r="B85" s="68"/>
      <c r="C85" s="68"/>
      <c r="D85" s="68"/>
      <c r="E85" s="68"/>
      <c r="F85" s="68"/>
      <c r="G85" s="68"/>
      <c r="H85" s="68"/>
      <c r="I85" s="68"/>
    </row>
    <row r="86" spans="1:9" ht="12.75" customHeight="1" x14ac:dyDescent="0.2">
      <c r="A86" s="68"/>
      <c r="B86" s="68"/>
      <c r="C86" s="68"/>
      <c r="D86" s="68"/>
      <c r="E86" s="68"/>
      <c r="F86" s="68"/>
      <c r="G86" s="68"/>
      <c r="H86" s="68"/>
      <c r="I86" s="68"/>
    </row>
    <row r="87" spans="1:9" ht="12.75" customHeight="1" x14ac:dyDescent="0.2">
      <c r="A87" s="68"/>
      <c r="B87" s="68"/>
      <c r="C87" s="68"/>
      <c r="D87" s="68"/>
      <c r="E87" s="68"/>
      <c r="F87" s="68"/>
      <c r="G87" s="68"/>
      <c r="H87" s="68"/>
      <c r="I87" s="68"/>
    </row>
    <row r="88" spans="1:9" ht="12.75" customHeight="1" x14ac:dyDescent="0.2">
      <c r="A88" s="68"/>
      <c r="B88" s="68"/>
      <c r="C88" s="68"/>
      <c r="D88" s="68"/>
      <c r="E88" s="68"/>
      <c r="F88" s="68"/>
      <c r="G88" s="68"/>
      <c r="H88" s="68"/>
      <c r="I88" s="68"/>
    </row>
    <row r="89" spans="1:9" ht="12.75" customHeight="1" x14ac:dyDescent="0.2">
      <c r="A89" s="68"/>
      <c r="B89" s="68"/>
      <c r="C89" s="68"/>
      <c r="D89" s="68"/>
      <c r="E89" s="68"/>
      <c r="F89" s="68"/>
      <c r="G89" s="68"/>
      <c r="H89" s="68"/>
      <c r="I89" s="68"/>
    </row>
    <row r="90" spans="1:9" ht="12.75" customHeight="1" x14ac:dyDescent="0.2">
      <c r="A90" s="68"/>
      <c r="B90" s="68"/>
      <c r="C90" s="68"/>
      <c r="D90" s="68"/>
      <c r="E90" s="68"/>
      <c r="F90" s="68"/>
      <c r="G90" s="68"/>
      <c r="H90" s="68"/>
      <c r="I90" s="68"/>
    </row>
    <row r="91" spans="1:9" ht="12.75" customHeight="1" x14ac:dyDescent="0.2">
      <c r="A91" s="68"/>
      <c r="B91" s="68"/>
      <c r="C91" s="68"/>
      <c r="D91" s="68"/>
      <c r="E91" s="68"/>
      <c r="F91" s="68"/>
      <c r="G91" s="68"/>
      <c r="H91" s="68"/>
      <c r="I91" s="68"/>
    </row>
    <row r="92" spans="1:9" ht="12.75" customHeight="1" x14ac:dyDescent="0.2">
      <c r="A92" s="68"/>
      <c r="B92" s="68"/>
      <c r="C92" s="68"/>
      <c r="D92" s="68"/>
      <c r="E92" s="68"/>
      <c r="F92" s="68"/>
      <c r="G92" s="68"/>
      <c r="H92" s="68"/>
      <c r="I92" s="68"/>
    </row>
    <row r="93" spans="1:9" ht="12.75" customHeight="1" x14ac:dyDescent="0.2">
      <c r="A93" s="68"/>
      <c r="B93" s="68"/>
      <c r="C93" s="68"/>
      <c r="D93" s="68"/>
      <c r="E93" s="68"/>
      <c r="F93" s="68"/>
      <c r="G93" s="68"/>
      <c r="H93" s="68"/>
      <c r="I93" s="68"/>
    </row>
    <row r="94" spans="1:9" ht="12.75" customHeight="1" x14ac:dyDescent="0.2">
      <c r="A94" s="68"/>
      <c r="B94" s="68"/>
      <c r="C94" s="68"/>
      <c r="D94" s="68"/>
      <c r="E94" s="68"/>
      <c r="F94" s="68"/>
      <c r="G94" s="68"/>
      <c r="H94" s="68"/>
      <c r="I94" s="68"/>
    </row>
    <row r="95" spans="1:9" ht="12.75" customHeight="1" x14ac:dyDescent="0.2"/>
    <row r="96" spans="1:9"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88">
    <mergeCell ref="A21:A25"/>
    <mergeCell ref="A26:A30"/>
    <mergeCell ref="B36:I36"/>
    <mergeCell ref="B37:D37"/>
    <mergeCell ref="E37:F37"/>
    <mergeCell ref="G31:H31"/>
    <mergeCell ref="G32:H32"/>
    <mergeCell ref="G33:H33"/>
    <mergeCell ref="G34:H34"/>
    <mergeCell ref="G35:H35"/>
    <mergeCell ref="A31:A35"/>
    <mergeCell ref="E31:F31"/>
    <mergeCell ref="E32:F32"/>
    <mergeCell ref="E33:F33"/>
    <mergeCell ref="E34:F34"/>
    <mergeCell ref="E35:F35"/>
    <mergeCell ref="B43:H43"/>
    <mergeCell ref="A44:A45"/>
    <mergeCell ref="B44:E45"/>
    <mergeCell ref="G44:G45"/>
    <mergeCell ref="H44:I45"/>
    <mergeCell ref="A37:A43"/>
    <mergeCell ref="B40:D40"/>
    <mergeCell ref="E40:F40"/>
    <mergeCell ref="B41:D41"/>
    <mergeCell ref="E41:F41"/>
    <mergeCell ref="B42:D42"/>
    <mergeCell ref="E42:F42"/>
    <mergeCell ref="E25:F25"/>
    <mergeCell ref="G25:H25"/>
    <mergeCell ref="B38:D38"/>
    <mergeCell ref="E38:F38"/>
    <mergeCell ref="B39:D39"/>
    <mergeCell ref="E39:F39"/>
    <mergeCell ref="E26:F26"/>
    <mergeCell ref="G26:H26"/>
    <mergeCell ref="E27:F27"/>
    <mergeCell ref="G27:H27"/>
    <mergeCell ref="E28:F28"/>
    <mergeCell ref="G28:H28"/>
    <mergeCell ref="E29:F29"/>
    <mergeCell ref="G29:H29"/>
    <mergeCell ref="E30:F30"/>
    <mergeCell ref="G30:H30"/>
    <mergeCell ref="E22:F22"/>
    <mergeCell ref="G22:H22"/>
    <mergeCell ref="E23:F23"/>
    <mergeCell ref="G23:H23"/>
    <mergeCell ref="E24:F24"/>
    <mergeCell ref="G24:H24"/>
    <mergeCell ref="E20:F20"/>
    <mergeCell ref="G20:H20"/>
    <mergeCell ref="E17:F17"/>
    <mergeCell ref="E21:F21"/>
    <mergeCell ref="G21:H21"/>
    <mergeCell ref="G17:H17"/>
    <mergeCell ref="A10:A15"/>
    <mergeCell ref="E18:F18"/>
    <mergeCell ref="G18:H18"/>
    <mergeCell ref="E19:F19"/>
    <mergeCell ref="G19:H19"/>
    <mergeCell ref="E16:F16"/>
    <mergeCell ref="E15:F15"/>
    <mergeCell ref="G15:H15"/>
    <mergeCell ref="A16:A20"/>
    <mergeCell ref="G16:H16"/>
    <mergeCell ref="E12:F12"/>
    <mergeCell ref="G12:H12"/>
    <mergeCell ref="E13:F13"/>
    <mergeCell ref="G13:H13"/>
    <mergeCell ref="E14:F14"/>
    <mergeCell ref="G14:H14"/>
    <mergeCell ref="B4:I4"/>
    <mergeCell ref="H5:I5"/>
    <mergeCell ref="D10:F10"/>
    <mergeCell ref="G10:H10"/>
    <mergeCell ref="E11:F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0A00-000000000000}">
          <x14:formula1>
            <xm:f>'LISTAS-OCULTAR'!$A$1:$A$4</xm:f>
          </x14:formula1>
          <xm:sqref>I11:I12 I14:I35</xm:sqref>
        </x14:dataValidation>
        <x14:dataValidation type="list" allowBlank="1" showErrorMessage="1" xr:uid="{00000000-0002-0000-0A00-000001000000}">
          <x14:formula1>
            <xm:f>'LISTAS-OCULTAR'!$A$1:$A$3</xm:f>
          </x14:formula1>
          <xm:sqref>B38:B42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49.5" customHeight="1" x14ac:dyDescent="0.25">
      <c r="A4" s="4" t="s">
        <v>7</v>
      </c>
      <c r="B4" s="139" t="str">
        <f>+'RESUMEN DIPLOMADO'!D3</f>
        <v>DIPLOMADO EN BIG DATA E INTELIGENCIA ARTIFICIAL</v>
      </c>
      <c r="C4" s="91"/>
      <c r="D4" s="91"/>
      <c r="E4" s="91"/>
      <c r="F4" s="92"/>
      <c r="G4" s="7" t="s">
        <v>9</v>
      </c>
      <c r="H4" s="10" t="str">
        <f>+'RESUMEN DIPLOMADO'!M3</f>
        <v>150 horas
120 horas sincrónicas y
30 horas asincrónicas</v>
      </c>
      <c r="I4" s="11"/>
      <c r="J4" s="11"/>
      <c r="K4" s="11"/>
      <c r="L4" s="11"/>
      <c r="M4" s="11"/>
      <c r="N4" s="11"/>
      <c r="O4" s="11"/>
      <c r="P4" s="11"/>
      <c r="Q4" s="11"/>
      <c r="R4" s="11"/>
      <c r="S4" s="11"/>
      <c r="T4" s="11"/>
      <c r="U4" s="11"/>
      <c r="V4" s="11"/>
      <c r="W4" s="11"/>
      <c r="X4" s="11"/>
      <c r="Y4" s="11"/>
      <c r="Z4" s="11"/>
    </row>
    <row r="5" spans="1:26" ht="22.5" customHeight="1" x14ac:dyDescent="0.25">
      <c r="A5" s="12" t="s">
        <v>231</v>
      </c>
      <c r="B5" s="139" t="s">
        <v>307</v>
      </c>
      <c r="C5" s="91"/>
      <c r="D5" s="91"/>
      <c r="E5" s="91"/>
      <c r="F5" s="92"/>
      <c r="G5" s="14"/>
      <c r="H5" s="16" t="s">
        <v>19</v>
      </c>
      <c r="I5" s="11"/>
      <c r="J5" s="11"/>
      <c r="K5" s="11"/>
      <c r="L5" s="11"/>
      <c r="M5" s="11"/>
      <c r="N5" s="11"/>
      <c r="O5" s="11"/>
      <c r="P5" s="11"/>
      <c r="Q5" s="11"/>
      <c r="R5" s="11"/>
      <c r="S5" s="11"/>
      <c r="T5" s="11"/>
      <c r="U5" s="11"/>
      <c r="V5" s="11"/>
      <c r="W5" s="11"/>
      <c r="X5" s="11"/>
      <c r="Y5" s="11"/>
      <c r="Z5" s="11"/>
    </row>
    <row r="6" spans="1:26" ht="102.75" customHeight="1" x14ac:dyDescent="0.2">
      <c r="A6" s="17" t="s">
        <v>34</v>
      </c>
      <c r="B6" s="140" t="s">
        <v>308</v>
      </c>
      <c r="C6" s="91"/>
      <c r="D6" s="91"/>
      <c r="E6" s="91"/>
      <c r="F6" s="91"/>
      <c r="G6" s="91"/>
      <c r="H6" s="92"/>
      <c r="I6" s="18"/>
      <c r="J6" s="18"/>
      <c r="K6" s="18"/>
      <c r="L6" s="18"/>
      <c r="M6" s="18"/>
      <c r="N6" s="18"/>
      <c r="O6" s="18"/>
      <c r="P6" s="18"/>
      <c r="Q6" s="18"/>
      <c r="R6" s="18"/>
      <c r="S6" s="18"/>
      <c r="T6" s="18"/>
      <c r="U6" s="18"/>
      <c r="V6" s="18"/>
      <c r="W6" s="18"/>
      <c r="X6" s="18"/>
      <c r="Y6" s="18"/>
      <c r="Z6" s="18"/>
    </row>
    <row r="7" spans="1:26" ht="27" customHeight="1" x14ac:dyDescent="0.2">
      <c r="A7" s="17" t="s">
        <v>13</v>
      </c>
      <c r="B7" s="140" t="s">
        <v>309</v>
      </c>
      <c r="C7" s="91"/>
      <c r="D7" s="91"/>
      <c r="E7" s="91"/>
      <c r="F7" s="91"/>
      <c r="G7" s="91"/>
      <c r="H7" s="92"/>
      <c r="I7" s="18"/>
      <c r="J7" s="18"/>
      <c r="K7" s="18"/>
      <c r="L7" s="18"/>
      <c r="M7" s="18"/>
      <c r="N7" s="18"/>
      <c r="O7" s="18"/>
      <c r="P7" s="18"/>
      <c r="Q7" s="18"/>
      <c r="R7" s="18"/>
      <c r="S7" s="18"/>
      <c r="T7" s="18"/>
      <c r="U7" s="18"/>
      <c r="V7" s="18"/>
      <c r="W7" s="18"/>
      <c r="X7" s="18"/>
      <c r="Y7" s="18"/>
      <c r="Z7" s="18"/>
    </row>
    <row r="8" spans="1:26" ht="30" customHeight="1" x14ac:dyDescent="0.2">
      <c r="A8" s="17" t="s">
        <v>31</v>
      </c>
      <c r="B8" s="140" t="s">
        <v>310</v>
      </c>
      <c r="C8" s="91"/>
      <c r="D8" s="91"/>
      <c r="E8" s="91"/>
      <c r="F8" s="91"/>
      <c r="G8" s="91"/>
      <c r="H8" s="92"/>
      <c r="I8" s="18"/>
      <c r="J8" s="18"/>
      <c r="K8" s="18"/>
      <c r="L8" s="18"/>
      <c r="M8" s="18"/>
      <c r="N8" s="18"/>
      <c r="O8" s="18"/>
      <c r="P8" s="18"/>
      <c r="Q8" s="18"/>
      <c r="R8" s="18"/>
      <c r="S8" s="18"/>
      <c r="T8" s="18"/>
      <c r="U8" s="18"/>
      <c r="V8" s="18"/>
      <c r="W8" s="18"/>
      <c r="X8" s="18"/>
      <c r="Y8" s="18"/>
      <c r="Z8" s="18"/>
    </row>
    <row r="9" spans="1:26" ht="30" customHeight="1" x14ac:dyDescent="0.2">
      <c r="A9" s="17" t="s">
        <v>22</v>
      </c>
      <c r="B9" s="140" t="s">
        <v>311</v>
      </c>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20</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t="s">
        <v>312</v>
      </c>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115.5" customHeight="1" x14ac:dyDescent="0.2">
      <c r="A12" s="17" t="s">
        <v>30</v>
      </c>
      <c r="B12" s="140" t="s">
        <v>313</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9.25" customHeight="1" x14ac:dyDescent="0.2">
      <c r="A13" s="130" t="s">
        <v>41</v>
      </c>
      <c r="B13" s="131" t="s">
        <v>314</v>
      </c>
      <c r="C13" s="74" t="s">
        <v>47</v>
      </c>
      <c r="D13" s="141" t="s">
        <v>209</v>
      </c>
      <c r="E13" s="91"/>
      <c r="F13" s="91"/>
      <c r="G13" s="91"/>
      <c r="H13" s="92"/>
      <c r="I13" s="18"/>
      <c r="J13" s="18"/>
      <c r="K13" s="18"/>
      <c r="L13" s="18"/>
      <c r="M13" s="18"/>
      <c r="N13" s="18"/>
      <c r="O13" s="18"/>
      <c r="P13" s="18"/>
      <c r="Q13" s="18"/>
      <c r="R13" s="18"/>
      <c r="S13" s="18"/>
      <c r="T13" s="18"/>
      <c r="U13" s="18"/>
      <c r="V13" s="18"/>
      <c r="W13" s="18"/>
      <c r="X13" s="18"/>
      <c r="Y13" s="18"/>
      <c r="Z13" s="18"/>
    </row>
    <row r="14" spans="1:26" ht="28.5" customHeight="1" x14ac:dyDescent="0.2">
      <c r="A14" s="95"/>
      <c r="B14" s="95"/>
      <c r="C14" s="22" t="s">
        <v>49</v>
      </c>
      <c r="D14" s="180" t="s">
        <v>315</v>
      </c>
      <c r="E14" s="123"/>
      <c r="F14" s="123"/>
      <c r="G14" s="123"/>
      <c r="H14" s="124"/>
      <c r="I14" s="18"/>
      <c r="J14" s="18"/>
      <c r="K14" s="18"/>
      <c r="L14" s="18"/>
      <c r="M14" s="18"/>
      <c r="N14" s="18"/>
      <c r="O14" s="18"/>
      <c r="P14" s="18"/>
      <c r="Q14" s="18"/>
      <c r="R14" s="18"/>
      <c r="S14" s="18"/>
      <c r="T14" s="18"/>
      <c r="U14" s="18"/>
      <c r="V14" s="18"/>
      <c r="W14" s="18"/>
      <c r="X14" s="18"/>
      <c r="Y14" s="18"/>
      <c r="Z14" s="18"/>
    </row>
    <row r="15" spans="1:26" ht="28.5" customHeight="1" x14ac:dyDescent="0.2">
      <c r="A15" s="95"/>
      <c r="B15" s="95"/>
      <c r="C15" s="22" t="s">
        <v>52</v>
      </c>
      <c r="D15" s="142" t="s">
        <v>316</v>
      </c>
      <c r="E15" s="91"/>
      <c r="F15" s="91"/>
      <c r="G15" s="91"/>
      <c r="H15" s="92"/>
      <c r="I15" s="18"/>
      <c r="J15" s="18"/>
      <c r="K15" s="18"/>
      <c r="L15" s="18"/>
      <c r="M15" s="18"/>
      <c r="N15" s="18"/>
      <c r="O15" s="18"/>
      <c r="P15" s="18"/>
      <c r="Q15" s="18"/>
      <c r="R15" s="18"/>
      <c r="S15" s="18"/>
      <c r="T15" s="18"/>
      <c r="U15" s="18"/>
      <c r="V15" s="18"/>
      <c r="W15" s="18"/>
      <c r="X15" s="18"/>
      <c r="Y15" s="18"/>
      <c r="Z15" s="18"/>
    </row>
    <row r="16" spans="1:26" ht="28.5" customHeight="1" x14ac:dyDescent="0.2">
      <c r="A16" s="95"/>
      <c r="B16" s="95"/>
      <c r="C16" s="22" t="s">
        <v>55</v>
      </c>
      <c r="D16" s="142" t="s">
        <v>317</v>
      </c>
      <c r="E16" s="91"/>
      <c r="F16" s="91"/>
      <c r="G16" s="91"/>
      <c r="H16" s="92"/>
      <c r="I16" s="18"/>
      <c r="J16" s="18"/>
      <c r="K16" s="18"/>
      <c r="L16" s="18"/>
      <c r="M16" s="18"/>
      <c r="N16" s="18"/>
      <c r="O16" s="18"/>
      <c r="P16" s="18"/>
      <c r="Q16" s="18"/>
      <c r="R16" s="18"/>
      <c r="S16" s="18"/>
      <c r="T16" s="18"/>
      <c r="U16" s="18"/>
      <c r="V16" s="18"/>
      <c r="W16" s="18"/>
      <c r="X16" s="18"/>
      <c r="Y16" s="18"/>
      <c r="Z16" s="18"/>
    </row>
    <row r="17" spans="1:26" ht="28.5" customHeight="1" x14ac:dyDescent="0.2">
      <c r="A17" s="95"/>
      <c r="B17" s="97"/>
      <c r="C17" s="22" t="s">
        <v>57</v>
      </c>
      <c r="D17" s="142" t="s">
        <v>318</v>
      </c>
      <c r="E17" s="91"/>
      <c r="F17" s="91"/>
      <c r="G17" s="91"/>
      <c r="H17" s="92"/>
      <c r="I17" s="18"/>
      <c r="J17" s="18"/>
      <c r="K17" s="18"/>
      <c r="L17" s="18"/>
      <c r="M17" s="18"/>
      <c r="N17" s="18"/>
      <c r="O17" s="18"/>
      <c r="P17" s="18"/>
      <c r="Q17" s="18"/>
      <c r="R17" s="18"/>
      <c r="S17" s="18"/>
      <c r="T17" s="18"/>
      <c r="U17" s="18"/>
      <c r="V17" s="18"/>
      <c r="W17" s="18"/>
      <c r="X17" s="18"/>
      <c r="Y17" s="18"/>
      <c r="Z17" s="18"/>
    </row>
    <row r="18" spans="1:26" ht="28.5" customHeight="1" x14ac:dyDescent="0.2">
      <c r="A18" s="95"/>
      <c r="B18" s="131" t="s">
        <v>319</v>
      </c>
      <c r="C18" s="22" t="s">
        <v>61</v>
      </c>
      <c r="D18" s="142" t="s">
        <v>320</v>
      </c>
      <c r="E18" s="91"/>
      <c r="F18" s="91"/>
      <c r="G18" s="91"/>
      <c r="H18" s="92"/>
      <c r="I18" s="18"/>
      <c r="J18" s="18"/>
      <c r="K18" s="18"/>
      <c r="L18" s="18"/>
      <c r="M18" s="18"/>
      <c r="N18" s="18"/>
      <c r="O18" s="18"/>
      <c r="P18" s="18"/>
      <c r="Q18" s="18"/>
      <c r="R18" s="18"/>
      <c r="S18" s="18"/>
      <c r="T18" s="18"/>
      <c r="U18" s="18"/>
      <c r="V18" s="18"/>
      <c r="W18" s="18"/>
      <c r="X18" s="18"/>
      <c r="Y18" s="18"/>
      <c r="Z18" s="18"/>
    </row>
    <row r="19" spans="1:26" ht="28.5" customHeight="1" x14ac:dyDescent="0.2">
      <c r="A19" s="95"/>
      <c r="B19" s="95"/>
      <c r="C19" s="22" t="s">
        <v>64</v>
      </c>
      <c r="D19" s="142" t="s">
        <v>321</v>
      </c>
      <c r="E19" s="91"/>
      <c r="F19" s="91"/>
      <c r="G19" s="91"/>
      <c r="H19" s="92"/>
      <c r="I19" s="18"/>
      <c r="J19" s="18"/>
      <c r="K19" s="18"/>
      <c r="L19" s="18"/>
      <c r="M19" s="18"/>
      <c r="N19" s="18"/>
      <c r="O19" s="18"/>
      <c r="P19" s="18"/>
      <c r="Q19" s="18"/>
      <c r="R19" s="18"/>
      <c r="S19" s="18"/>
      <c r="T19" s="18"/>
      <c r="U19" s="18"/>
      <c r="V19" s="18"/>
      <c r="W19" s="18"/>
      <c r="X19" s="18"/>
      <c r="Y19" s="18"/>
      <c r="Z19" s="18"/>
    </row>
    <row r="20" spans="1:26" ht="28.5" customHeight="1" x14ac:dyDescent="0.2">
      <c r="A20" s="95"/>
      <c r="B20" s="95"/>
      <c r="C20" s="22" t="s">
        <v>66</v>
      </c>
      <c r="D20" s="142" t="s">
        <v>322</v>
      </c>
      <c r="E20" s="91"/>
      <c r="F20" s="91"/>
      <c r="G20" s="91"/>
      <c r="H20" s="92"/>
      <c r="I20" s="18"/>
      <c r="J20" s="18"/>
      <c r="K20" s="18"/>
      <c r="L20" s="18"/>
      <c r="M20" s="18"/>
      <c r="N20" s="18"/>
      <c r="O20" s="18"/>
      <c r="P20" s="18"/>
      <c r="Q20" s="18"/>
      <c r="R20" s="18"/>
      <c r="S20" s="18"/>
      <c r="T20" s="18"/>
      <c r="U20" s="18"/>
      <c r="V20" s="18"/>
      <c r="W20" s="18"/>
      <c r="X20" s="18"/>
      <c r="Y20" s="18"/>
      <c r="Z20" s="18"/>
    </row>
    <row r="21" spans="1:26" ht="28.5" customHeight="1" x14ac:dyDescent="0.2">
      <c r="A21" s="95"/>
      <c r="B21" s="95"/>
      <c r="C21" s="22" t="s">
        <v>69</v>
      </c>
      <c r="D21" s="142" t="s">
        <v>323</v>
      </c>
      <c r="E21" s="91"/>
      <c r="F21" s="91"/>
      <c r="G21" s="91"/>
      <c r="H21" s="92"/>
      <c r="I21" s="18"/>
      <c r="J21" s="18"/>
      <c r="K21" s="18"/>
      <c r="L21" s="18"/>
      <c r="M21" s="18"/>
      <c r="N21" s="18"/>
      <c r="O21" s="18"/>
      <c r="P21" s="18"/>
      <c r="Q21" s="18"/>
      <c r="R21" s="18"/>
      <c r="S21" s="18"/>
      <c r="T21" s="18"/>
      <c r="U21" s="18"/>
      <c r="V21" s="18"/>
      <c r="W21" s="18"/>
      <c r="X21" s="18"/>
      <c r="Y21" s="18"/>
      <c r="Z21" s="18"/>
    </row>
    <row r="22" spans="1:26" ht="28.5" customHeight="1" x14ac:dyDescent="0.2">
      <c r="A22" s="95"/>
      <c r="B22" s="97"/>
      <c r="C22" s="22" t="s">
        <v>72</v>
      </c>
      <c r="D22" s="142" t="s">
        <v>324</v>
      </c>
      <c r="E22" s="91"/>
      <c r="F22" s="91"/>
      <c r="G22" s="91"/>
      <c r="H22" s="92"/>
      <c r="I22" s="18"/>
      <c r="J22" s="18"/>
      <c r="K22" s="18"/>
      <c r="L22" s="18"/>
      <c r="M22" s="18"/>
      <c r="N22" s="18"/>
      <c r="O22" s="18"/>
      <c r="P22" s="18"/>
      <c r="Q22" s="18"/>
      <c r="R22" s="18"/>
      <c r="S22" s="18"/>
      <c r="T22" s="18"/>
      <c r="U22" s="18"/>
      <c r="V22" s="18"/>
      <c r="W22" s="18"/>
      <c r="X22" s="18"/>
      <c r="Y22" s="18"/>
      <c r="Z22" s="18"/>
    </row>
    <row r="23" spans="1:26" ht="28.5" customHeight="1" x14ac:dyDescent="0.2">
      <c r="A23" s="95"/>
      <c r="B23" s="131" t="s">
        <v>325</v>
      </c>
      <c r="C23" s="22" t="s">
        <v>76</v>
      </c>
      <c r="D23" s="142" t="s">
        <v>326</v>
      </c>
      <c r="E23" s="91"/>
      <c r="F23" s="91"/>
      <c r="G23" s="91"/>
      <c r="H23" s="92"/>
      <c r="I23" s="18"/>
      <c r="J23" s="18"/>
      <c r="K23" s="18"/>
      <c r="L23" s="18"/>
      <c r="M23" s="18"/>
      <c r="N23" s="18"/>
      <c r="O23" s="18"/>
      <c r="P23" s="18"/>
      <c r="Q23" s="18"/>
      <c r="R23" s="18"/>
      <c r="S23" s="18"/>
      <c r="T23" s="18"/>
      <c r="U23" s="18"/>
      <c r="V23" s="18"/>
      <c r="W23" s="18"/>
      <c r="X23" s="18"/>
      <c r="Y23" s="18"/>
      <c r="Z23" s="18"/>
    </row>
    <row r="24" spans="1:26" ht="28.5" customHeight="1" x14ac:dyDescent="0.2">
      <c r="A24" s="95"/>
      <c r="B24" s="95"/>
      <c r="C24" s="22" t="s">
        <v>78</v>
      </c>
      <c r="D24" s="142" t="s">
        <v>327</v>
      </c>
      <c r="E24" s="91"/>
      <c r="F24" s="91"/>
      <c r="G24" s="91"/>
      <c r="H24" s="92"/>
      <c r="I24" s="18"/>
      <c r="J24" s="18"/>
      <c r="K24" s="18"/>
      <c r="L24" s="18"/>
      <c r="M24" s="18"/>
      <c r="N24" s="18"/>
      <c r="O24" s="18"/>
      <c r="P24" s="18"/>
      <c r="Q24" s="18"/>
      <c r="R24" s="18"/>
      <c r="S24" s="18"/>
      <c r="T24" s="18"/>
      <c r="U24" s="18"/>
      <c r="V24" s="18"/>
      <c r="W24" s="18"/>
      <c r="X24" s="18"/>
      <c r="Y24" s="18"/>
      <c r="Z24" s="18"/>
    </row>
    <row r="25" spans="1:26" ht="28.5" customHeight="1" x14ac:dyDescent="0.2">
      <c r="A25" s="95"/>
      <c r="B25" s="95"/>
      <c r="C25" s="22" t="s">
        <v>81</v>
      </c>
      <c r="D25" s="142" t="s">
        <v>328</v>
      </c>
      <c r="E25" s="91"/>
      <c r="F25" s="91"/>
      <c r="G25" s="91"/>
      <c r="H25" s="92"/>
      <c r="I25" s="18"/>
      <c r="J25" s="18"/>
      <c r="K25" s="18"/>
      <c r="L25" s="18"/>
      <c r="M25" s="18"/>
      <c r="N25" s="18"/>
      <c r="O25" s="18"/>
      <c r="P25" s="18"/>
      <c r="Q25" s="18"/>
      <c r="R25" s="18"/>
      <c r="S25" s="18"/>
      <c r="T25" s="18"/>
      <c r="U25" s="18"/>
      <c r="V25" s="18"/>
      <c r="W25" s="18"/>
      <c r="X25" s="18"/>
      <c r="Y25" s="18"/>
      <c r="Z25" s="18"/>
    </row>
    <row r="26" spans="1:26" ht="28.5" customHeight="1" x14ac:dyDescent="0.2">
      <c r="A26" s="95"/>
      <c r="B26" s="95"/>
      <c r="C26" s="22" t="s">
        <v>85</v>
      </c>
      <c r="D26" s="142" t="s">
        <v>329</v>
      </c>
      <c r="E26" s="91"/>
      <c r="F26" s="91"/>
      <c r="G26" s="91"/>
      <c r="H26" s="92"/>
      <c r="I26" s="18"/>
      <c r="J26" s="18"/>
      <c r="K26" s="18"/>
      <c r="L26" s="18"/>
      <c r="M26" s="18"/>
      <c r="N26" s="18"/>
      <c r="O26" s="18"/>
      <c r="P26" s="18"/>
      <c r="Q26" s="18"/>
      <c r="R26" s="18"/>
      <c r="S26" s="18"/>
      <c r="T26" s="18"/>
      <c r="U26" s="18"/>
      <c r="V26" s="18"/>
      <c r="W26" s="18"/>
      <c r="X26" s="18"/>
      <c r="Y26" s="18"/>
      <c r="Z26" s="18"/>
    </row>
    <row r="27" spans="1:26" ht="28.5" customHeight="1" x14ac:dyDescent="0.2">
      <c r="A27" s="95"/>
      <c r="B27" s="97"/>
      <c r="C27" s="22" t="s">
        <v>87</v>
      </c>
      <c r="D27" s="142" t="s">
        <v>330</v>
      </c>
      <c r="E27" s="91"/>
      <c r="F27" s="91"/>
      <c r="G27" s="91"/>
      <c r="H27" s="92"/>
      <c r="I27" s="18"/>
      <c r="J27" s="18"/>
      <c r="K27" s="18"/>
      <c r="L27" s="18"/>
      <c r="M27" s="18"/>
      <c r="N27" s="18"/>
      <c r="O27" s="18"/>
      <c r="P27" s="18"/>
      <c r="Q27" s="18"/>
      <c r="R27" s="18"/>
      <c r="S27" s="18"/>
      <c r="T27" s="18"/>
      <c r="U27" s="18"/>
      <c r="V27" s="18"/>
      <c r="W27" s="18"/>
      <c r="X27" s="18"/>
      <c r="Y27" s="18"/>
      <c r="Z27" s="18"/>
    </row>
    <row r="28" spans="1:26" ht="28.5" customHeight="1" x14ac:dyDescent="0.2">
      <c r="A28" s="95"/>
      <c r="B28" s="131" t="s">
        <v>331</v>
      </c>
      <c r="C28" s="22" t="s">
        <v>92</v>
      </c>
      <c r="D28" s="142" t="s">
        <v>332</v>
      </c>
      <c r="E28" s="91"/>
      <c r="F28" s="91"/>
      <c r="G28" s="91"/>
      <c r="H28" s="92"/>
      <c r="I28" s="18"/>
      <c r="J28" s="18"/>
      <c r="K28" s="18"/>
      <c r="L28" s="18"/>
      <c r="M28" s="18"/>
      <c r="N28" s="18"/>
      <c r="O28" s="18"/>
      <c r="P28" s="18"/>
      <c r="Q28" s="18"/>
      <c r="R28" s="18"/>
      <c r="S28" s="18"/>
      <c r="T28" s="18"/>
      <c r="U28" s="18"/>
      <c r="V28" s="18"/>
      <c r="W28" s="18"/>
      <c r="X28" s="18"/>
      <c r="Y28" s="18"/>
      <c r="Z28" s="18"/>
    </row>
    <row r="29" spans="1:26" ht="28.5" customHeight="1" x14ac:dyDescent="0.2">
      <c r="A29" s="95"/>
      <c r="B29" s="95"/>
      <c r="C29" s="22" t="s">
        <v>95</v>
      </c>
      <c r="D29" s="142" t="s">
        <v>333</v>
      </c>
      <c r="E29" s="91"/>
      <c r="F29" s="91"/>
      <c r="G29" s="91"/>
      <c r="H29" s="92"/>
      <c r="I29" s="18"/>
      <c r="J29" s="18"/>
      <c r="K29" s="18"/>
      <c r="L29" s="18"/>
      <c r="M29" s="18"/>
      <c r="N29" s="18"/>
      <c r="O29" s="18"/>
      <c r="P29" s="18"/>
      <c r="Q29" s="18"/>
      <c r="R29" s="18"/>
      <c r="S29" s="18"/>
      <c r="T29" s="18"/>
      <c r="U29" s="18"/>
      <c r="V29" s="18"/>
      <c r="W29" s="18"/>
      <c r="X29" s="18"/>
      <c r="Y29" s="18"/>
      <c r="Z29" s="18"/>
    </row>
    <row r="30" spans="1:26" ht="28.5" customHeight="1" x14ac:dyDescent="0.2">
      <c r="A30" s="95"/>
      <c r="B30" s="95"/>
      <c r="C30" s="22" t="s">
        <v>98</v>
      </c>
      <c r="D30" s="142" t="s">
        <v>214</v>
      </c>
      <c r="E30" s="91"/>
      <c r="F30" s="91"/>
      <c r="G30" s="91"/>
      <c r="H30" s="92"/>
      <c r="I30" s="18"/>
      <c r="J30" s="18"/>
      <c r="K30" s="18"/>
      <c r="L30" s="18"/>
      <c r="M30" s="18"/>
      <c r="N30" s="18"/>
      <c r="O30" s="18"/>
      <c r="P30" s="18"/>
      <c r="Q30" s="18"/>
      <c r="R30" s="18"/>
      <c r="S30" s="18"/>
      <c r="T30" s="18"/>
      <c r="U30" s="18"/>
      <c r="V30" s="18"/>
      <c r="W30" s="18"/>
      <c r="X30" s="18"/>
      <c r="Y30" s="18"/>
      <c r="Z30" s="18"/>
    </row>
    <row r="31" spans="1:26" ht="28.5" customHeight="1" x14ac:dyDescent="0.2">
      <c r="A31" s="95"/>
      <c r="B31" s="95"/>
      <c r="C31" s="22" t="s">
        <v>101</v>
      </c>
      <c r="D31" s="142" t="s">
        <v>334</v>
      </c>
      <c r="E31" s="91"/>
      <c r="F31" s="91"/>
      <c r="G31" s="91"/>
      <c r="H31" s="92"/>
      <c r="I31" s="18"/>
      <c r="J31" s="18"/>
      <c r="K31" s="18"/>
      <c r="L31" s="18"/>
      <c r="M31" s="18"/>
      <c r="N31" s="18"/>
      <c r="O31" s="18"/>
      <c r="P31" s="18"/>
      <c r="Q31" s="18"/>
      <c r="R31" s="18"/>
      <c r="S31" s="18"/>
      <c r="T31" s="18"/>
      <c r="U31" s="18"/>
      <c r="V31" s="18"/>
      <c r="W31" s="18"/>
      <c r="X31" s="18"/>
      <c r="Y31" s="18"/>
      <c r="Z31" s="18"/>
    </row>
    <row r="32" spans="1:26" ht="28.5" customHeight="1" x14ac:dyDescent="0.2">
      <c r="A32" s="95"/>
      <c r="B32" s="97"/>
      <c r="C32" s="22" t="s">
        <v>104</v>
      </c>
      <c r="D32" s="142" t="s">
        <v>105</v>
      </c>
      <c r="E32" s="91"/>
      <c r="F32" s="91"/>
      <c r="G32" s="91"/>
      <c r="H32" s="92"/>
      <c r="I32" s="18"/>
      <c r="J32" s="18"/>
      <c r="K32" s="18"/>
      <c r="L32" s="18"/>
      <c r="M32" s="18"/>
      <c r="N32" s="18"/>
      <c r="O32" s="18"/>
      <c r="P32" s="18"/>
      <c r="Q32" s="18"/>
      <c r="R32" s="18"/>
      <c r="S32" s="18"/>
      <c r="T32" s="18"/>
      <c r="U32" s="18"/>
      <c r="V32" s="18"/>
      <c r="W32" s="18"/>
      <c r="X32" s="18"/>
      <c r="Y32" s="18"/>
      <c r="Z32" s="18"/>
    </row>
    <row r="33" spans="1:26" ht="28.5" customHeight="1" x14ac:dyDescent="0.2">
      <c r="A33" s="95"/>
      <c r="B33" s="131" t="s">
        <v>335</v>
      </c>
      <c r="C33" s="22" t="s">
        <v>108</v>
      </c>
      <c r="D33" s="142" t="s">
        <v>336</v>
      </c>
      <c r="E33" s="91"/>
      <c r="F33" s="91"/>
      <c r="G33" s="91"/>
      <c r="H33" s="92"/>
      <c r="I33" s="18"/>
      <c r="J33" s="18"/>
      <c r="K33" s="18"/>
      <c r="L33" s="18"/>
      <c r="M33" s="18"/>
      <c r="N33" s="18"/>
      <c r="O33" s="18"/>
      <c r="P33" s="18"/>
      <c r="Q33" s="18"/>
      <c r="R33" s="18"/>
      <c r="S33" s="18"/>
      <c r="T33" s="18"/>
      <c r="U33" s="18"/>
      <c r="V33" s="18"/>
      <c r="W33" s="18"/>
      <c r="X33" s="18"/>
      <c r="Y33" s="18"/>
      <c r="Z33" s="18"/>
    </row>
    <row r="34" spans="1:26" ht="28.5" customHeight="1" x14ac:dyDescent="0.2">
      <c r="A34" s="95"/>
      <c r="B34" s="95"/>
      <c r="C34" s="22" t="s">
        <v>111</v>
      </c>
      <c r="D34" s="142" t="s">
        <v>102</v>
      </c>
      <c r="E34" s="91"/>
      <c r="F34" s="91"/>
      <c r="G34" s="91"/>
      <c r="H34" s="92"/>
      <c r="I34" s="18"/>
      <c r="J34" s="18"/>
      <c r="K34" s="18"/>
      <c r="L34" s="18"/>
      <c r="M34" s="18"/>
      <c r="N34" s="18"/>
      <c r="O34" s="18"/>
      <c r="P34" s="18"/>
      <c r="Q34" s="18"/>
      <c r="R34" s="18"/>
      <c r="S34" s="18"/>
      <c r="T34" s="18"/>
      <c r="U34" s="18"/>
      <c r="V34" s="18"/>
      <c r="W34" s="18"/>
      <c r="X34" s="18"/>
      <c r="Y34" s="18"/>
      <c r="Z34" s="18"/>
    </row>
    <row r="35" spans="1:26" ht="28.5" customHeight="1" x14ac:dyDescent="0.2">
      <c r="A35" s="95"/>
      <c r="B35" s="95"/>
      <c r="C35" s="22" t="s">
        <v>113</v>
      </c>
      <c r="D35" s="142" t="s">
        <v>337</v>
      </c>
      <c r="E35" s="91"/>
      <c r="F35" s="91"/>
      <c r="G35" s="91"/>
      <c r="H35" s="92"/>
      <c r="I35" s="18"/>
      <c r="J35" s="18"/>
      <c r="K35" s="18"/>
      <c r="L35" s="18"/>
      <c r="M35" s="18"/>
      <c r="N35" s="18"/>
      <c r="O35" s="18"/>
      <c r="P35" s="18"/>
      <c r="Q35" s="18"/>
      <c r="R35" s="18"/>
      <c r="S35" s="18"/>
      <c r="T35" s="18"/>
      <c r="U35" s="18"/>
      <c r="V35" s="18"/>
      <c r="W35" s="18"/>
      <c r="X35" s="18"/>
      <c r="Y35" s="18"/>
      <c r="Z35" s="18"/>
    </row>
    <row r="36" spans="1:26" ht="28.5" customHeight="1" x14ac:dyDescent="0.2">
      <c r="A36" s="95"/>
      <c r="B36" s="95"/>
      <c r="C36" s="22" t="s">
        <v>116</v>
      </c>
      <c r="D36" s="142" t="s">
        <v>338</v>
      </c>
      <c r="E36" s="91"/>
      <c r="F36" s="91"/>
      <c r="G36" s="91"/>
      <c r="H36" s="92"/>
      <c r="I36" s="18"/>
      <c r="J36" s="18"/>
      <c r="K36" s="18"/>
      <c r="L36" s="18"/>
      <c r="M36" s="18"/>
      <c r="N36" s="18"/>
      <c r="O36" s="18"/>
      <c r="P36" s="18"/>
      <c r="Q36" s="18"/>
      <c r="R36" s="18"/>
      <c r="S36" s="18"/>
      <c r="T36" s="18"/>
      <c r="U36" s="18"/>
      <c r="V36" s="18"/>
      <c r="W36" s="18"/>
      <c r="X36" s="18"/>
      <c r="Y36" s="18"/>
      <c r="Z36" s="18"/>
    </row>
    <row r="37" spans="1:26" ht="28.5" customHeight="1" x14ac:dyDescent="0.2">
      <c r="A37" s="96"/>
      <c r="B37" s="97"/>
      <c r="C37" s="22" t="s">
        <v>119</v>
      </c>
      <c r="D37" s="142" t="s">
        <v>339</v>
      </c>
      <c r="E37" s="91"/>
      <c r="F37" s="91"/>
      <c r="G37" s="91"/>
      <c r="H37" s="92"/>
      <c r="I37" s="18"/>
      <c r="J37" s="18"/>
      <c r="K37" s="18"/>
      <c r="L37" s="18"/>
      <c r="M37" s="18"/>
      <c r="N37" s="18"/>
      <c r="O37" s="18"/>
      <c r="P37" s="18"/>
      <c r="Q37" s="18"/>
      <c r="R37" s="18"/>
      <c r="S37" s="18"/>
      <c r="T37" s="18"/>
      <c r="U37" s="18"/>
      <c r="V37" s="18"/>
      <c r="W37" s="18"/>
      <c r="X37" s="18"/>
      <c r="Y37" s="18"/>
      <c r="Z37" s="18"/>
    </row>
    <row r="38" spans="1:26" ht="53.25" customHeight="1" x14ac:dyDescent="0.2">
      <c r="A38" s="26" t="s">
        <v>122</v>
      </c>
      <c r="B38" s="143" t="s">
        <v>340</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268</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341</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342</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38.25" customHeight="1" x14ac:dyDescent="0.2">
      <c r="A42" s="26" t="s">
        <v>140</v>
      </c>
      <c r="B42" s="152" t="s">
        <v>343</v>
      </c>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63" customHeight="1" x14ac:dyDescent="0.2">
      <c r="A43" s="30" t="s">
        <v>144</v>
      </c>
      <c r="B43" s="153" t="s">
        <v>344</v>
      </c>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59.25" customHeight="1" x14ac:dyDescent="0.2">
      <c r="A44" s="30" t="s">
        <v>147</v>
      </c>
      <c r="B44" s="153" t="s">
        <v>345</v>
      </c>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58.5" customHeight="1" x14ac:dyDescent="0.2">
      <c r="A45" s="30" t="s">
        <v>150</v>
      </c>
      <c r="B45" s="153" t="s">
        <v>346</v>
      </c>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60" customHeight="1"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64.5" customHeight="1" x14ac:dyDescent="0.2">
      <c r="A47" s="95"/>
      <c r="B47" s="32" t="s">
        <v>154</v>
      </c>
      <c r="C47" s="145"/>
      <c r="D47" s="91"/>
      <c r="E47" s="91"/>
      <c r="F47" s="91"/>
      <c r="G47" s="91"/>
      <c r="H47" s="92"/>
      <c r="I47" s="18"/>
      <c r="J47" s="18"/>
      <c r="K47" s="18"/>
      <c r="L47" s="18"/>
      <c r="M47" s="18"/>
      <c r="N47" s="18"/>
      <c r="O47" s="18"/>
      <c r="P47" s="18"/>
      <c r="Q47" s="18"/>
      <c r="R47" s="18"/>
      <c r="S47" s="18"/>
      <c r="T47" s="18"/>
      <c r="U47" s="18"/>
      <c r="V47" s="18"/>
      <c r="W47" s="18"/>
      <c r="X47" s="18"/>
      <c r="Y47" s="18"/>
      <c r="Z47" s="18"/>
    </row>
    <row r="48" spans="1:26" ht="39.75" customHeight="1"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156</v>
      </c>
      <c r="B49" s="155" t="s">
        <v>158</v>
      </c>
      <c r="C49" s="146" t="s">
        <v>159</v>
      </c>
      <c r="D49" s="92"/>
      <c r="E49" s="147" t="s">
        <v>161</v>
      </c>
      <c r="F49" s="148" t="s">
        <v>162</v>
      </c>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v>46241</v>
      </c>
      <c r="D50" s="92"/>
      <c r="E50" s="97"/>
      <c r="F50" s="114"/>
      <c r="G50" s="134"/>
      <c r="H50" s="37">
        <v>46241</v>
      </c>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t="s">
        <v>179</v>
      </c>
      <c r="D53" s="91"/>
      <c r="E53" s="91"/>
      <c r="F53" s="92"/>
      <c r="G53" s="43" t="s">
        <v>180</v>
      </c>
      <c r="H53" s="37">
        <v>46241</v>
      </c>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51"/>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D37:H37"/>
    <mergeCell ref="B38:H38"/>
    <mergeCell ref="C39:H39"/>
    <mergeCell ref="C40:H40"/>
    <mergeCell ref="C41:H41"/>
    <mergeCell ref="D32:H32"/>
    <mergeCell ref="D33:H33"/>
    <mergeCell ref="D34:H34"/>
    <mergeCell ref="D35:H35"/>
    <mergeCell ref="D36:H36"/>
    <mergeCell ref="D27:H27"/>
    <mergeCell ref="D28:H28"/>
    <mergeCell ref="D29:H29"/>
    <mergeCell ref="D30:H30"/>
    <mergeCell ref="D31:H31"/>
    <mergeCell ref="D22:H22"/>
    <mergeCell ref="D23:H23"/>
    <mergeCell ref="D24:H24"/>
    <mergeCell ref="D25:H25"/>
    <mergeCell ref="D26:H26"/>
    <mergeCell ref="D17:H17"/>
    <mergeCell ref="D18:H18"/>
    <mergeCell ref="D19:H19"/>
    <mergeCell ref="D20:H20"/>
    <mergeCell ref="D21:H21"/>
    <mergeCell ref="B12:H12"/>
    <mergeCell ref="D13:H13"/>
    <mergeCell ref="D14:H14"/>
    <mergeCell ref="D15:H15"/>
    <mergeCell ref="D16:H16"/>
    <mergeCell ref="A51:H51"/>
    <mergeCell ref="C52:F52"/>
    <mergeCell ref="C53:F53"/>
    <mergeCell ref="A1:B2"/>
    <mergeCell ref="C1:G1"/>
    <mergeCell ref="H1:H2"/>
    <mergeCell ref="C2:G2"/>
    <mergeCell ref="B3:H3"/>
    <mergeCell ref="B4:F4"/>
    <mergeCell ref="B5:F5"/>
    <mergeCell ref="B6:H6"/>
    <mergeCell ref="B7:H7"/>
    <mergeCell ref="B8:H8"/>
    <mergeCell ref="B9:H9"/>
    <mergeCell ref="B10:H10"/>
    <mergeCell ref="B11:H11"/>
    <mergeCell ref="A39:A41"/>
    <mergeCell ref="A46:A48"/>
    <mergeCell ref="A49:A50"/>
    <mergeCell ref="B49:B50"/>
    <mergeCell ref="C48:H48"/>
    <mergeCell ref="C49:D49"/>
    <mergeCell ref="E49:E50"/>
    <mergeCell ref="F49:G50"/>
    <mergeCell ref="C50:D50"/>
    <mergeCell ref="B42:H42"/>
    <mergeCell ref="B43:H43"/>
    <mergeCell ref="B44:H44"/>
    <mergeCell ref="B45:H45"/>
    <mergeCell ref="C46:H46"/>
    <mergeCell ref="C47:H47"/>
    <mergeCell ref="A13:A37"/>
    <mergeCell ref="B13:B17"/>
    <mergeCell ref="B18:B22"/>
    <mergeCell ref="B23:B27"/>
    <mergeCell ref="B28:B32"/>
    <mergeCell ref="B33:B37"/>
  </mergeCells>
  <pageMargins left="0.7" right="0.7" top="0.75" bottom="0.75" header="0" footer="0"/>
  <pageSetup orientation="landscape"/>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election sqref="A1:C3"/>
    </sheetView>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1" customWidth="1"/>
    <col min="6" max="6" width="18.7109375" customWidth="1"/>
    <col min="7" max="8" width="10.7109375" customWidth="1"/>
    <col min="9" max="26" width="10.5703125" customWidth="1"/>
  </cols>
  <sheetData>
    <row r="1" spans="1:26" ht="12.75" customHeight="1" x14ac:dyDescent="0.2">
      <c r="A1" s="132"/>
      <c r="B1" s="111"/>
      <c r="C1" s="133"/>
      <c r="D1" s="135" t="s">
        <v>0</v>
      </c>
      <c r="E1" s="111"/>
      <c r="F1" s="111"/>
      <c r="G1" s="111"/>
      <c r="H1" s="132"/>
      <c r="I1" s="133"/>
      <c r="J1" s="67"/>
      <c r="K1" s="67"/>
      <c r="L1" s="67"/>
      <c r="M1" s="67"/>
      <c r="N1" s="67"/>
      <c r="O1" s="67"/>
      <c r="P1" s="67"/>
      <c r="Q1" s="67"/>
      <c r="R1" s="67"/>
      <c r="S1" s="67"/>
      <c r="T1" s="67"/>
      <c r="U1" s="67"/>
      <c r="V1" s="67"/>
      <c r="W1" s="67"/>
      <c r="X1" s="67"/>
      <c r="Y1" s="67"/>
      <c r="Z1" s="67"/>
    </row>
    <row r="2" spans="1:26" ht="12.75" customHeight="1" x14ac:dyDescent="0.2">
      <c r="A2" s="112"/>
      <c r="B2" s="113"/>
      <c r="C2" s="157"/>
      <c r="D2" s="137" t="s">
        <v>2</v>
      </c>
      <c r="E2" s="91"/>
      <c r="F2" s="91"/>
      <c r="G2" s="91"/>
      <c r="H2" s="112"/>
      <c r="I2" s="157"/>
      <c r="J2" s="67"/>
      <c r="K2" s="67"/>
      <c r="L2" s="67"/>
      <c r="M2" s="67"/>
      <c r="N2" s="67"/>
      <c r="O2" s="67"/>
      <c r="P2" s="67"/>
      <c r="Q2" s="67"/>
      <c r="R2" s="67"/>
      <c r="S2" s="67"/>
      <c r="T2" s="67"/>
      <c r="U2" s="67"/>
      <c r="V2" s="67"/>
      <c r="W2" s="67"/>
      <c r="X2" s="67"/>
      <c r="Y2" s="67"/>
      <c r="Z2" s="67"/>
    </row>
    <row r="3" spans="1:26" ht="33.75" customHeight="1" x14ac:dyDescent="0.2">
      <c r="A3" s="114"/>
      <c r="B3" s="115"/>
      <c r="C3" s="134"/>
      <c r="D3" s="137" t="s">
        <v>3</v>
      </c>
      <c r="E3" s="91"/>
      <c r="F3" s="91"/>
      <c r="G3" s="92"/>
      <c r="H3" s="114"/>
      <c r="I3" s="134"/>
      <c r="J3" s="67"/>
      <c r="K3" s="67"/>
      <c r="L3" s="67"/>
      <c r="M3" s="67"/>
      <c r="N3" s="67"/>
      <c r="O3" s="67"/>
      <c r="P3" s="67"/>
      <c r="Q3" s="67"/>
      <c r="R3" s="67"/>
      <c r="S3" s="67"/>
      <c r="T3" s="67"/>
      <c r="U3" s="67"/>
      <c r="V3" s="67"/>
      <c r="W3" s="67"/>
      <c r="X3" s="67"/>
      <c r="Y3" s="67"/>
      <c r="Z3" s="67"/>
    </row>
    <row r="4" spans="1:26" ht="12.75" customHeight="1" x14ac:dyDescent="0.2">
      <c r="A4" s="2"/>
      <c r="B4" s="138" t="str">
        <f>+'MODULO 6'!B3:H3</f>
        <v>Código: CEC-RCYC-02;Revisión: 02</v>
      </c>
      <c r="C4" s="111"/>
      <c r="D4" s="111"/>
      <c r="E4" s="111"/>
      <c r="F4" s="111"/>
      <c r="G4" s="111"/>
      <c r="H4" s="111"/>
      <c r="I4" s="111"/>
      <c r="J4" s="67"/>
      <c r="K4" s="67"/>
      <c r="L4" s="67"/>
      <c r="M4" s="67"/>
      <c r="N4" s="67"/>
      <c r="O4" s="67"/>
      <c r="P4" s="67"/>
      <c r="Q4" s="67"/>
      <c r="R4" s="67"/>
      <c r="S4" s="67"/>
      <c r="T4" s="67"/>
      <c r="U4" s="67"/>
      <c r="V4" s="67"/>
      <c r="W4" s="67"/>
      <c r="X4" s="67"/>
      <c r="Y4" s="67"/>
      <c r="Z4" s="67"/>
    </row>
    <row r="5" spans="1:26" ht="12.75" customHeight="1" x14ac:dyDescent="0.2">
      <c r="A5" s="6" t="s">
        <v>7</v>
      </c>
      <c r="B5" s="162" t="str">
        <f>+'RESUMEN DIPLOMADO'!D3</f>
        <v>DIPLOMADO EN BIG DATA E INTELIGENCIA ARTIFICIAL</v>
      </c>
      <c r="C5" s="91"/>
      <c r="D5" s="91"/>
      <c r="E5" s="91"/>
      <c r="F5" s="92"/>
      <c r="G5" s="58" t="s">
        <v>9</v>
      </c>
      <c r="H5" s="158" t="str">
        <f>+'RESUMEN DIPLOMADO'!M3</f>
        <v>150 horas
120 horas sincrónicas y
30 horas asincrónicas</v>
      </c>
      <c r="I5" s="92"/>
      <c r="J5" s="67"/>
      <c r="K5" s="67"/>
      <c r="L5" s="67"/>
      <c r="M5" s="67"/>
      <c r="N5" s="67"/>
      <c r="O5" s="67"/>
      <c r="P5" s="67"/>
      <c r="Q5" s="67"/>
      <c r="R5" s="67"/>
      <c r="S5" s="67"/>
      <c r="T5" s="67"/>
      <c r="U5" s="67"/>
      <c r="V5" s="67"/>
      <c r="W5" s="67"/>
      <c r="X5" s="67"/>
      <c r="Y5" s="67"/>
      <c r="Z5" s="67"/>
    </row>
    <row r="6" spans="1:26" ht="12.75" customHeight="1" x14ac:dyDescent="0.2">
      <c r="A6" s="6" t="s">
        <v>12</v>
      </c>
      <c r="B6" s="163" t="str">
        <f>+'MODULO 6'!B5:F5</f>
        <v>MÓDULO 6. MODELOS AVANZADOS DE IA Y APLICACIONES ECONÓMICAS</v>
      </c>
      <c r="C6" s="115"/>
      <c r="D6" s="115"/>
      <c r="E6" s="115"/>
      <c r="F6" s="134"/>
      <c r="G6" s="58" t="s">
        <v>9</v>
      </c>
      <c r="H6" s="176" t="str">
        <f>+'MODULO 6'!H5</f>
        <v>25 horas
(20 horas sincrónicas y 5 horas asincrónicas)</v>
      </c>
      <c r="I6" s="92"/>
      <c r="J6" s="67"/>
      <c r="K6" s="67"/>
      <c r="L6" s="67"/>
      <c r="M6" s="67"/>
      <c r="N6" s="67"/>
      <c r="O6" s="67"/>
      <c r="P6" s="67"/>
      <c r="Q6" s="67"/>
      <c r="R6" s="67"/>
      <c r="S6" s="67"/>
      <c r="T6" s="67"/>
      <c r="U6" s="67"/>
      <c r="V6" s="67"/>
      <c r="W6" s="67"/>
      <c r="X6" s="67"/>
      <c r="Y6" s="67"/>
      <c r="Z6" s="67"/>
    </row>
    <row r="7" spans="1:26" ht="30" customHeight="1" x14ac:dyDescent="0.2">
      <c r="A7" s="15" t="s">
        <v>18</v>
      </c>
      <c r="B7" s="165" t="s">
        <v>20</v>
      </c>
      <c r="C7" s="91"/>
      <c r="D7" s="91"/>
      <c r="E7" s="91"/>
      <c r="F7" s="91"/>
      <c r="G7" s="91"/>
      <c r="H7" s="91"/>
      <c r="I7" s="92"/>
      <c r="J7" s="67"/>
      <c r="K7" s="67"/>
      <c r="L7" s="67"/>
      <c r="M7" s="67"/>
      <c r="N7" s="67"/>
      <c r="O7" s="67"/>
      <c r="P7" s="67"/>
      <c r="Q7" s="67"/>
      <c r="R7" s="67"/>
      <c r="S7" s="67"/>
      <c r="T7" s="67"/>
      <c r="U7" s="67"/>
      <c r="V7" s="67"/>
      <c r="W7" s="67"/>
      <c r="X7" s="67"/>
      <c r="Y7" s="67"/>
      <c r="Z7" s="67"/>
    </row>
    <row r="8" spans="1:26" ht="30.75" customHeight="1" x14ac:dyDescent="0.2">
      <c r="A8" s="15" t="s">
        <v>23</v>
      </c>
      <c r="B8" s="165" t="str">
        <f>+'MODULO 6'!B11:H11</f>
        <v>Aplicar modelos avanzados de inteligencia artificial mediante técnicas analíticas y herramientas predictivas en escenarios económicos, para generar soluciones innovadoras orientadas a la toma de decisiones.</v>
      </c>
      <c r="C8" s="91"/>
      <c r="D8" s="91"/>
      <c r="E8" s="91"/>
      <c r="F8" s="91"/>
      <c r="G8" s="91"/>
      <c r="H8" s="91"/>
      <c r="I8" s="92"/>
      <c r="J8" s="67"/>
      <c r="K8" s="67"/>
      <c r="L8" s="67"/>
      <c r="M8" s="67"/>
      <c r="N8" s="67"/>
      <c r="O8" s="67"/>
      <c r="P8" s="67"/>
      <c r="Q8" s="67"/>
      <c r="R8" s="67"/>
      <c r="S8" s="67"/>
      <c r="T8" s="67"/>
      <c r="U8" s="67"/>
      <c r="V8" s="67"/>
      <c r="W8" s="67"/>
      <c r="X8" s="67"/>
      <c r="Y8" s="67"/>
      <c r="Z8" s="67"/>
    </row>
    <row r="9" spans="1:26" ht="52.5" customHeight="1" x14ac:dyDescent="0.2">
      <c r="A9" s="15" t="s">
        <v>30</v>
      </c>
      <c r="B9" s="165" t="str">
        <f>+'MODULO 6'!B12:H12</f>
        <v>U1. Implementar modelos no paramétricos mediante algoritmos avanzados en análisis económicos para optimizar predicciones.
U2. Aplicar técnicas bayesianas mediante modelos probabilísticos en escenarios institucionales para fortalecer análisis de incertidumbre.
U3. Comprender fundamentos de deep learning mediante redes neuronales en problemas predictivos para identificar aplicaciones avanzadas.
U4. Analizar aplicaciones económicas mediante IA avanzada en contextos macroeconómicos para generar valor institucional.
Desarrollar proyectos integradores mediante técnicas avanzadas en escenarios reales para fortalecer innovación analítica.</v>
      </c>
      <c r="C9" s="91"/>
      <c r="D9" s="91"/>
      <c r="E9" s="91"/>
      <c r="F9" s="91"/>
      <c r="G9" s="91"/>
      <c r="H9" s="91"/>
      <c r="I9" s="92"/>
      <c r="J9" s="67"/>
      <c r="K9" s="67"/>
      <c r="L9" s="67"/>
      <c r="M9" s="67"/>
      <c r="N9" s="67"/>
      <c r="O9" s="67"/>
      <c r="P9" s="67"/>
      <c r="Q9" s="67"/>
      <c r="R9" s="67"/>
      <c r="S9" s="67"/>
      <c r="T9" s="67"/>
      <c r="U9" s="67"/>
      <c r="V9" s="67"/>
      <c r="W9" s="67"/>
      <c r="X9" s="67"/>
      <c r="Y9" s="67"/>
      <c r="Z9" s="67"/>
    </row>
    <row r="10" spans="1:26" ht="12.75" customHeight="1" x14ac:dyDescent="0.2">
      <c r="A10" s="166" t="str">
        <f>+'MODULO 6'!B13</f>
        <v>Unidad 1. Modelos No Paramétricos (5 horas)</v>
      </c>
      <c r="B10" s="20" t="s">
        <v>36</v>
      </c>
      <c r="C10" s="20" t="s">
        <v>37</v>
      </c>
      <c r="D10" s="159" t="s">
        <v>41</v>
      </c>
      <c r="E10" s="91"/>
      <c r="F10" s="92"/>
      <c r="G10" s="159" t="s">
        <v>43</v>
      </c>
      <c r="H10" s="92"/>
      <c r="I10" s="70" t="s">
        <v>44</v>
      </c>
      <c r="J10" s="67"/>
      <c r="K10" s="67"/>
      <c r="L10" s="67"/>
      <c r="M10" s="67"/>
      <c r="N10" s="67"/>
      <c r="O10" s="67"/>
      <c r="P10" s="67"/>
      <c r="Q10" s="67"/>
      <c r="R10" s="67"/>
      <c r="S10" s="67"/>
      <c r="T10" s="67"/>
      <c r="U10" s="67"/>
      <c r="V10" s="67"/>
      <c r="W10" s="67"/>
      <c r="X10" s="67"/>
      <c r="Y10" s="67"/>
      <c r="Z10" s="67"/>
    </row>
    <row r="11" spans="1:26" ht="15" customHeight="1" x14ac:dyDescent="0.2">
      <c r="A11" s="95"/>
      <c r="B11" s="20">
        <v>1</v>
      </c>
      <c r="C11" s="21"/>
      <c r="D11" s="23" t="s">
        <v>47</v>
      </c>
      <c r="E11" s="160" t="str">
        <f>+'MODULO 6'!D13</f>
        <v>KNN.</v>
      </c>
      <c r="F11" s="92"/>
      <c r="G11" s="161"/>
      <c r="H11" s="92"/>
      <c r="I11" s="66"/>
      <c r="J11" s="67"/>
      <c r="K11" s="67"/>
      <c r="L11" s="67"/>
      <c r="M11" s="67"/>
      <c r="N11" s="67"/>
      <c r="O11" s="67"/>
      <c r="P11" s="67"/>
      <c r="Q11" s="67"/>
      <c r="R11" s="67"/>
      <c r="S11" s="67"/>
      <c r="T11" s="67"/>
      <c r="U11" s="67"/>
      <c r="V11" s="67"/>
      <c r="W11" s="67"/>
      <c r="X11" s="67"/>
      <c r="Y11" s="67"/>
      <c r="Z11" s="67"/>
    </row>
    <row r="12" spans="1:26" ht="15" customHeight="1" x14ac:dyDescent="0.2">
      <c r="A12" s="95"/>
      <c r="B12" s="20">
        <v>2</v>
      </c>
      <c r="C12" s="20"/>
      <c r="D12" s="23" t="s">
        <v>49</v>
      </c>
      <c r="E12" s="160" t="str">
        <f>+'MODULO 6'!D14</f>
        <v>Kernel methods.</v>
      </c>
      <c r="F12" s="92"/>
      <c r="G12" s="161"/>
      <c r="H12" s="92"/>
      <c r="I12" s="73"/>
      <c r="J12" s="67"/>
      <c r="K12" s="67"/>
      <c r="L12" s="67"/>
      <c r="M12" s="67"/>
      <c r="N12" s="67"/>
      <c r="O12" s="67"/>
      <c r="P12" s="67"/>
      <c r="Q12" s="67"/>
      <c r="R12" s="67"/>
      <c r="S12" s="67"/>
      <c r="T12" s="67"/>
      <c r="U12" s="67"/>
      <c r="V12" s="67"/>
      <c r="W12" s="67"/>
      <c r="X12" s="67"/>
      <c r="Y12" s="67"/>
      <c r="Z12" s="67"/>
    </row>
    <row r="13" spans="1:26" ht="15" customHeight="1" x14ac:dyDescent="0.2">
      <c r="A13" s="95"/>
      <c r="B13" s="20">
        <v>3</v>
      </c>
      <c r="C13" s="20"/>
      <c r="D13" s="23" t="s">
        <v>52</v>
      </c>
      <c r="E13" s="160" t="str">
        <f>+'MODULO 6'!D15</f>
        <v>Árboles avanzados.</v>
      </c>
      <c r="F13" s="92"/>
      <c r="G13" s="161"/>
      <c r="H13" s="92"/>
      <c r="I13" s="66"/>
      <c r="J13" s="67"/>
      <c r="K13" s="67"/>
      <c r="L13" s="67"/>
      <c r="M13" s="67"/>
      <c r="N13" s="67"/>
      <c r="O13" s="67"/>
      <c r="P13" s="67"/>
      <c r="Q13" s="67"/>
      <c r="R13" s="67"/>
      <c r="S13" s="67"/>
      <c r="T13" s="67"/>
      <c r="U13" s="67"/>
      <c r="V13" s="67"/>
      <c r="W13" s="67"/>
      <c r="X13" s="67"/>
      <c r="Y13" s="67"/>
      <c r="Z13" s="67"/>
    </row>
    <row r="14" spans="1:26" ht="15" customHeight="1" x14ac:dyDescent="0.2">
      <c r="A14" s="95"/>
      <c r="B14" s="20"/>
      <c r="C14" s="20"/>
      <c r="D14" s="23" t="s">
        <v>55</v>
      </c>
      <c r="E14" s="160" t="str">
        <f>+'MODULO 6'!D16</f>
        <v>Boosting.</v>
      </c>
      <c r="F14" s="92"/>
      <c r="G14" s="161"/>
      <c r="H14" s="92"/>
      <c r="I14" s="66"/>
      <c r="J14" s="67"/>
      <c r="K14" s="67"/>
      <c r="L14" s="67"/>
      <c r="M14" s="67"/>
      <c r="N14" s="67"/>
      <c r="O14" s="67"/>
      <c r="P14" s="67"/>
      <c r="Q14" s="67"/>
      <c r="R14" s="67"/>
      <c r="S14" s="67"/>
      <c r="T14" s="67"/>
      <c r="U14" s="67"/>
      <c r="V14" s="67"/>
      <c r="W14" s="67"/>
      <c r="X14" s="67"/>
      <c r="Y14" s="67"/>
      <c r="Z14" s="67"/>
    </row>
    <row r="15" spans="1:26" ht="15" customHeight="1" x14ac:dyDescent="0.2">
      <c r="A15" s="96"/>
      <c r="B15" s="20"/>
      <c r="C15" s="20"/>
      <c r="D15" s="23" t="s">
        <v>57</v>
      </c>
      <c r="E15" s="160" t="str">
        <f>+'MODULO 6'!D17</f>
        <v>Bagging.</v>
      </c>
      <c r="F15" s="92"/>
      <c r="G15" s="161"/>
      <c r="H15" s="92"/>
      <c r="I15" s="66"/>
      <c r="J15" s="67"/>
      <c r="K15" s="67"/>
      <c r="L15" s="67"/>
      <c r="M15" s="67"/>
      <c r="N15" s="67"/>
      <c r="O15" s="67"/>
      <c r="P15" s="67"/>
      <c r="Q15" s="67"/>
      <c r="R15" s="67"/>
      <c r="S15" s="67"/>
      <c r="T15" s="67"/>
      <c r="U15" s="67"/>
      <c r="V15" s="67"/>
      <c r="W15" s="67"/>
      <c r="X15" s="67"/>
      <c r="Y15" s="67"/>
      <c r="Z15" s="67"/>
    </row>
    <row r="16" spans="1:26" ht="15" customHeight="1" x14ac:dyDescent="0.2">
      <c r="A16" s="166" t="str">
        <f>+'MODULO 6'!B18</f>
        <v>Unidad 2. Modelos Bayesianos (5 horas)</v>
      </c>
      <c r="B16" s="20"/>
      <c r="C16" s="20"/>
      <c r="D16" s="23" t="s">
        <v>61</v>
      </c>
      <c r="E16" s="160" t="str">
        <f>+'MODULO 6'!D18</f>
        <v>Probabilidad bayesiana.</v>
      </c>
      <c r="F16" s="92"/>
      <c r="G16" s="161"/>
      <c r="H16" s="92"/>
      <c r="I16" s="66"/>
      <c r="J16" s="67"/>
      <c r="K16" s="67"/>
      <c r="L16" s="67"/>
      <c r="M16" s="67"/>
      <c r="N16" s="67"/>
      <c r="O16" s="67"/>
      <c r="P16" s="67"/>
      <c r="Q16" s="67"/>
      <c r="R16" s="67"/>
      <c r="S16" s="67"/>
      <c r="T16" s="67"/>
      <c r="U16" s="67"/>
      <c r="V16" s="67"/>
      <c r="W16" s="67"/>
      <c r="X16" s="67"/>
      <c r="Y16" s="67"/>
      <c r="Z16" s="67"/>
    </row>
    <row r="17" spans="1:26" ht="15" customHeight="1" x14ac:dyDescent="0.2">
      <c r="A17" s="95"/>
      <c r="B17" s="20"/>
      <c r="C17" s="20"/>
      <c r="D17" s="23" t="s">
        <v>64</v>
      </c>
      <c r="E17" s="160" t="str">
        <f>+'MODULO 6'!D19</f>
        <v>Inferencia bayesiana.</v>
      </c>
      <c r="F17" s="92"/>
      <c r="G17" s="161"/>
      <c r="H17" s="92"/>
      <c r="I17" s="66"/>
      <c r="J17" s="67"/>
      <c r="K17" s="67"/>
      <c r="L17" s="67"/>
      <c r="M17" s="67"/>
      <c r="N17" s="67"/>
      <c r="O17" s="67"/>
      <c r="P17" s="67"/>
      <c r="Q17" s="67"/>
      <c r="R17" s="67"/>
      <c r="S17" s="67"/>
      <c r="T17" s="67"/>
      <c r="U17" s="67"/>
      <c r="V17" s="67"/>
      <c r="W17" s="67"/>
      <c r="X17" s="67"/>
      <c r="Y17" s="67"/>
      <c r="Z17" s="67"/>
    </row>
    <row r="18" spans="1:26" ht="15" customHeight="1" x14ac:dyDescent="0.2">
      <c r="A18" s="95"/>
      <c r="B18" s="20"/>
      <c r="C18" s="20"/>
      <c r="D18" s="23" t="s">
        <v>66</v>
      </c>
      <c r="E18" s="160" t="str">
        <f>+'MODULO 6'!D20</f>
        <v>Redes bayesianas.</v>
      </c>
      <c r="F18" s="92"/>
      <c r="G18" s="161"/>
      <c r="H18" s="92"/>
      <c r="I18" s="66"/>
      <c r="J18" s="67"/>
      <c r="K18" s="67"/>
      <c r="L18" s="67"/>
      <c r="M18" s="67"/>
      <c r="N18" s="67"/>
      <c r="O18" s="67"/>
      <c r="P18" s="67"/>
      <c r="Q18" s="67"/>
      <c r="R18" s="67"/>
      <c r="S18" s="67"/>
      <c r="T18" s="67"/>
      <c r="U18" s="67"/>
      <c r="V18" s="67"/>
      <c r="W18" s="67"/>
      <c r="X18" s="67"/>
      <c r="Y18" s="67"/>
      <c r="Z18" s="67"/>
    </row>
    <row r="19" spans="1:26" ht="15" customHeight="1" x14ac:dyDescent="0.2">
      <c r="A19" s="95"/>
      <c r="B19" s="20"/>
      <c r="C19" s="20"/>
      <c r="D19" s="23" t="s">
        <v>69</v>
      </c>
      <c r="E19" s="160" t="str">
        <f>+'MODULO 6'!D21</f>
        <v>Modelos probabilísticos.</v>
      </c>
      <c r="F19" s="92"/>
      <c r="G19" s="161"/>
      <c r="H19" s="92"/>
      <c r="I19" s="66"/>
      <c r="J19" s="67"/>
      <c r="K19" s="67"/>
      <c r="L19" s="67"/>
      <c r="M19" s="67"/>
      <c r="N19" s="67"/>
      <c r="O19" s="67"/>
      <c r="P19" s="67"/>
      <c r="Q19" s="67"/>
      <c r="R19" s="67"/>
      <c r="S19" s="67"/>
      <c r="T19" s="67"/>
      <c r="U19" s="67"/>
      <c r="V19" s="67"/>
      <c r="W19" s="67"/>
      <c r="X19" s="67"/>
      <c r="Y19" s="67"/>
      <c r="Z19" s="67"/>
    </row>
    <row r="20" spans="1:26" ht="15" customHeight="1" x14ac:dyDescent="0.2">
      <c r="A20" s="96"/>
      <c r="B20" s="20"/>
      <c r="C20" s="20"/>
      <c r="D20" s="23" t="s">
        <v>72</v>
      </c>
      <c r="E20" s="160" t="str">
        <f>+'MODULO 6'!D22</f>
        <v>Aplicaciones económicas.</v>
      </c>
      <c r="F20" s="92"/>
      <c r="G20" s="161"/>
      <c r="H20" s="92"/>
      <c r="I20" s="66"/>
      <c r="J20" s="67"/>
      <c r="K20" s="67"/>
      <c r="L20" s="67"/>
      <c r="M20" s="67"/>
      <c r="N20" s="67"/>
      <c r="O20" s="67"/>
      <c r="P20" s="67"/>
      <c r="Q20" s="67"/>
      <c r="R20" s="67"/>
      <c r="S20" s="67"/>
      <c r="T20" s="67"/>
      <c r="U20" s="67"/>
      <c r="V20" s="67"/>
      <c r="W20" s="67"/>
      <c r="X20" s="67"/>
      <c r="Y20" s="67"/>
      <c r="Z20" s="67"/>
    </row>
    <row r="21" spans="1:26" ht="15" customHeight="1" x14ac:dyDescent="0.2">
      <c r="A21" s="166" t="str">
        <f>+'MODULO 6'!B23</f>
        <v>Unidad 3. Introducción a Deep Learning (5 horas)</v>
      </c>
      <c r="B21" s="20"/>
      <c r="C21" s="20"/>
      <c r="D21" s="23" t="s">
        <v>76</v>
      </c>
      <c r="E21" s="160" t="str">
        <f>+'MODULO 6'!D23</f>
        <v>Redes neuronales.</v>
      </c>
      <c r="F21" s="92"/>
      <c r="G21" s="161"/>
      <c r="H21" s="92"/>
      <c r="I21" s="66"/>
      <c r="J21" s="67"/>
      <c r="K21" s="67"/>
      <c r="L21" s="67"/>
      <c r="M21" s="67"/>
      <c r="N21" s="67"/>
      <c r="O21" s="67"/>
      <c r="P21" s="67"/>
      <c r="Q21" s="67"/>
      <c r="R21" s="67"/>
      <c r="S21" s="67"/>
      <c r="T21" s="67"/>
      <c r="U21" s="67"/>
      <c r="V21" s="67"/>
      <c r="W21" s="67"/>
      <c r="X21" s="67"/>
      <c r="Y21" s="67"/>
      <c r="Z21" s="67"/>
    </row>
    <row r="22" spans="1:26" ht="15" customHeight="1" x14ac:dyDescent="0.2">
      <c r="A22" s="95"/>
      <c r="B22" s="20"/>
      <c r="C22" s="20"/>
      <c r="D22" s="23" t="s">
        <v>78</v>
      </c>
      <c r="E22" s="160" t="str">
        <f>+'MODULO 6'!D24</f>
        <v>TensorFlow.</v>
      </c>
      <c r="F22" s="92"/>
      <c r="G22" s="161"/>
      <c r="H22" s="92"/>
      <c r="I22" s="66"/>
      <c r="J22" s="67"/>
      <c r="K22" s="67"/>
      <c r="L22" s="67"/>
      <c r="M22" s="67"/>
      <c r="N22" s="67"/>
      <c r="O22" s="67"/>
      <c r="P22" s="67"/>
      <c r="Q22" s="67"/>
      <c r="R22" s="67"/>
      <c r="S22" s="67"/>
      <c r="T22" s="67"/>
      <c r="U22" s="67"/>
      <c r="V22" s="67"/>
      <c r="W22" s="67"/>
      <c r="X22" s="67"/>
      <c r="Y22" s="67"/>
      <c r="Z22" s="67"/>
    </row>
    <row r="23" spans="1:26" ht="15" customHeight="1" x14ac:dyDescent="0.2">
      <c r="A23" s="95"/>
      <c r="B23" s="20"/>
      <c r="C23" s="20"/>
      <c r="D23" s="23" t="s">
        <v>81</v>
      </c>
      <c r="E23" s="160" t="str">
        <f>+'MODULO 6'!D25</f>
        <v>Keras.</v>
      </c>
      <c r="F23" s="92"/>
      <c r="G23" s="161"/>
      <c r="H23" s="92"/>
      <c r="I23" s="66"/>
      <c r="J23" s="67"/>
      <c r="K23" s="67"/>
      <c r="L23" s="67"/>
      <c r="M23" s="67"/>
      <c r="N23" s="67"/>
      <c r="O23" s="67"/>
      <c r="P23" s="67"/>
      <c r="Q23" s="67"/>
      <c r="R23" s="67"/>
      <c r="S23" s="67"/>
      <c r="T23" s="67"/>
      <c r="U23" s="67"/>
      <c r="V23" s="67"/>
      <c r="W23" s="67"/>
      <c r="X23" s="67"/>
      <c r="Y23" s="67"/>
      <c r="Z23" s="67"/>
    </row>
    <row r="24" spans="1:26" ht="15" customHeight="1" x14ac:dyDescent="0.2">
      <c r="A24" s="95"/>
      <c r="B24" s="20"/>
      <c r="C24" s="20"/>
      <c r="D24" s="23" t="s">
        <v>85</v>
      </c>
      <c r="E24" s="160" t="str">
        <f>+'MODULO 6'!D26</f>
        <v>Deep learning básico.</v>
      </c>
      <c r="F24" s="92"/>
      <c r="G24" s="161"/>
      <c r="H24" s="92"/>
      <c r="I24" s="66"/>
      <c r="J24" s="67"/>
      <c r="K24" s="67"/>
      <c r="L24" s="67"/>
      <c r="M24" s="67"/>
      <c r="N24" s="67"/>
      <c r="O24" s="67"/>
      <c r="P24" s="67"/>
      <c r="Q24" s="67"/>
      <c r="R24" s="67"/>
      <c r="S24" s="67"/>
      <c r="T24" s="67"/>
      <c r="U24" s="67"/>
      <c r="V24" s="67"/>
      <c r="W24" s="67"/>
      <c r="X24" s="67"/>
      <c r="Y24" s="67"/>
      <c r="Z24" s="67"/>
    </row>
    <row r="25" spans="1:26" ht="15" customHeight="1" x14ac:dyDescent="0.2">
      <c r="A25" s="96"/>
      <c r="B25" s="20"/>
      <c r="C25" s="20"/>
      <c r="D25" s="23" t="s">
        <v>87</v>
      </c>
      <c r="E25" s="160" t="str">
        <f>+'MODULO 6'!D27</f>
        <v>Aplicaciones predictivas.</v>
      </c>
      <c r="F25" s="92"/>
      <c r="G25" s="161"/>
      <c r="H25" s="92"/>
      <c r="I25" s="66"/>
      <c r="J25" s="67"/>
      <c r="K25" s="67"/>
      <c r="L25" s="67"/>
      <c r="M25" s="67"/>
      <c r="N25" s="67"/>
      <c r="O25" s="67"/>
      <c r="P25" s="67"/>
      <c r="Q25" s="67"/>
      <c r="R25" s="67"/>
      <c r="S25" s="67"/>
      <c r="T25" s="67"/>
      <c r="U25" s="67"/>
      <c r="V25" s="67"/>
      <c r="W25" s="67"/>
      <c r="X25" s="67"/>
      <c r="Y25" s="67"/>
      <c r="Z25" s="67"/>
    </row>
    <row r="26" spans="1:26" ht="12.75" customHeight="1" x14ac:dyDescent="0.2">
      <c r="A26" s="166" t="str">
        <f>+'MODULO 6'!B28</f>
        <v>Unidad 4. Aplicaciones Económicas Avanzadas (5 horas)</v>
      </c>
      <c r="B26" s="20"/>
      <c r="C26" s="20"/>
      <c r="D26" s="23" t="s">
        <v>92</v>
      </c>
      <c r="E26" s="160" t="str">
        <f>+'MODULO 6'!D28</f>
        <v>Analítica predictiva.</v>
      </c>
      <c r="F26" s="92"/>
      <c r="G26" s="161"/>
      <c r="H26" s="92"/>
      <c r="I26" s="66"/>
      <c r="J26" s="67"/>
      <c r="K26" s="67"/>
      <c r="L26" s="67"/>
      <c r="M26" s="67"/>
      <c r="N26" s="67"/>
      <c r="O26" s="67"/>
      <c r="P26" s="67"/>
      <c r="Q26" s="67"/>
      <c r="R26" s="67"/>
      <c r="S26" s="67"/>
      <c r="T26" s="67"/>
      <c r="U26" s="67"/>
      <c r="V26" s="67"/>
      <c r="W26" s="67"/>
      <c r="X26" s="67"/>
      <c r="Y26" s="67"/>
      <c r="Z26" s="67"/>
    </row>
    <row r="27" spans="1:26" ht="12.75" customHeight="1" x14ac:dyDescent="0.2">
      <c r="A27" s="95"/>
      <c r="B27" s="20"/>
      <c r="C27" s="20"/>
      <c r="D27" s="23" t="s">
        <v>95</v>
      </c>
      <c r="E27" s="160" t="str">
        <f>+'MODULO 6'!D29</f>
        <v>Detección de anomalías.</v>
      </c>
      <c r="F27" s="92"/>
      <c r="G27" s="161"/>
      <c r="H27" s="92"/>
      <c r="I27" s="66"/>
      <c r="J27" s="67"/>
      <c r="K27" s="67"/>
      <c r="L27" s="67"/>
      <c r="M27" s="67"/>
      <c r="N27" s="67"/>
      <c r="O27" s="67"/>
      <c r="P27" s="67"/>
      <c r="Q27" s="67"/>
      <c r="R27" s="67"/>
      <c r="S27" s="67"/>
      <c r="T27" s="67"/>
      <c r="U27" s="67"/>
      <c r="V27" s="67"/>
      <c r="W27" s="67"/>
      <c r="X27" s="67"/>
      <c r="Y27" s="67"/>
      <c r="Z27" s="67"/>
    </row>
    <row r="28" spans="1:26" ht="12.75" customHeight="1" x14ac:dyDescent="0.2">
      <c r="A28" s="95"/>
      <c r="B28" s="20"/>
      <c r="C28" s="20"/>
      <c r="D28" s="23" t="s">
        <v>98</v>
      </c>
      <c r="E28" s="160" t="str">
        <f>+'MODULO 6'!D30</f>
        <v>Segmentación económica.</v>
      </c>
      <c r="F28" s="92"/>
      <c r="G28" s="161"/>
      <c r="H28" s="92"/>
      <c r="I28" s="66"/>
      <c r="J28" s="67"/>
      <c r="K28" s="67"/>
      <c r="L28" s="67"/>
      <c r="M28" s="67"/>
      <c r="N28" s="67"/>
      <c r="O28" s="67"/>
      <c r="P28" s="67"/>
      <c r="Q28" s="67"/>
      <c r="R28" s="67"/>
      <c r="S28" s="67"/>
      <c r="T28" s="67"/>
      <c r="U28" s="67"/>
      <c r="V28" s="67"/>
      <c r="W28" s="67"/>
      <c r="X28" s="67"/>
      <c r="Y28" s="67"/>
      <c r="Z28" s="67"/>
    </row>
    <row r="29" spans="1:26" ht="12.75" customHeight="1" x14ac:dyDescent="0.2">
      <c r="A29" s="95"/>
      <c r="B29" s="20"/>
      <c r="C29" s="20"/>
      <c r="D29" s="23" t="s">
        <v>101</v>
      </c>
      <c r="E29" s="160" t="str">
        <f>+'MODULO 6'!D31</f>
        <v>Riesgo financiero.</v>
      </c>
      <c r="F29" s="92"/>
      <c r="G29" s="161"/>
      <c r="H29" s="92"/>
      <c r="I29" s="66"/>
      <c r="J29" s="67"/>
      <c r="K29" s="67"/>
      <c r="L29" s="67"/>
      <c r="M29" s="67"/>
      <c r="N29" s="67"/>
      <c r="O29" s="67"/>
      <c r="P29" s="67"/>
      <c r="Q29" s="67"/>
      <c r="R29" s="67"/>
      <c r="S29" s="67"/>
      <c r="T29" s="67"/>
      <c r="U29" s="67"/>
      <c r="V29" s="67"/>
      <c r="W29" s="67"/>
      <c r="X29" s="67"/>
      <c r="Y29" s="67"/>
      <c r="Z29" s="67"/>
    </row>
    <row r="30" spans="1:26" ht="12.75" customHeight="1" x14ac:dyDescent="0.2">
      <c r="A30" s="96"/>
      <c r="B30" s="20"/>
      <c r="C30" s="20"/>
      <c r="D30" s="23" t="s">
        <v>104</v>
      </c>
      <c r="E30" s="160" t="str">
        <f>+'MODULO 6'!D32</f>
        <v>Innovación institucional.</v>
      </c>
      <c r="F30" s="92"/>
      <c r="G30" s="161"/>
      <c r="H30" s="92"/>
      <c r="I30" s="66"/>
      <c r="J30" s="67"/>
      <c r="K30" s="67"/>
      <c r="L30" s="67"/>
      <c r="M30" s="67"/>
      <c r="N30" s="67"/>
      <c r="O30" s="67"/>
      <c r="P30" s="67"/>
      <c r="Q30" s="67"/>
      <c r="R30" s="67"/>
      <c r="S30" s="67"/>
      <c r="T30" s="67"/>
      <c r="U30" s="67"/>
      <c r="V30" s="67"/>
      <c r="W30" s="67"/>
      <c r="X30" s="67"/>
      <c r="Y30" s="67"/>
      <c r="Z30" s="67"/>
    </row>
    <row r="31" spans="1:26" ht="12.75" customHeight="1" x14ac:dyDescent="0.2">
      <c r="A31" s="166" t="str">
        <f>+'MODULO 6'!B33</f>
        <v>Unidad 5. Proyecto Final Integrador (5 horas)</v>
      </c>
      <c r="B31" s="20"/>
      <c r="C31" s="20"/>
      <c r="D31" s="23" t="s">
        <v>108</v>
      </c>
      <c r="E31" s="160" t="str">
        <f>+'MODULO 6'!D33</f>
        <v>Desarrollo de modelo avanzado.</v>
      </c>
      <c r="F31" s="92"/>
      <c r="G31" s="161"/>
      <c r="H31" s="92"/>
      <c r="I31" s="66"/>
      <c r="J31" s="67"/>
      <c r="K31" s="67"/>
      <c r="L31" s="67"/>
      <c r="M31" s="67"/>
      <c r="N31" s="67"/>
      <c r="O31" s="67"/>
      <c r="P31" s="67"/>
      <c r="Q31" s="67"/>
      <c r="R31" s="67"/>
      <c r="S31" s="67"/>
      <c r="T31" s="67"/>
      <c r="U31" s="67"/>
      <c r="V31" s="67"/>
      <c r="W31" s="67"/>
      <c r="X31" s="67"/>
      <c r="Y31" s="67"/>
      <c r="Z31" s="67"/>
    </row>
    <row r="32" spans="1:26" ht="12.75" customHeight="1" x14ac:dyDescent="0.2">
      <c r="A32" s="95"/>
      <c r="B32" s="20"/>
      <c r="C32" s="20"/>
      <c r="D32" s="23" t="s">
        <v>111</v>
      </c>
      <c r="E32" s="160" t="str">
        <f>+'MODULO 6'!D34</f>
        <v>Automatización de análisis.</v>
      </c>
      <c r="F32" s="92"/>
      <c r="G32" s="161"/>
      <c r="H32" s="92"/>
      <c r="I32" s="66"/>
      <c r="J32" s="67"/>
      <c r="K32" s="67"/>
      <c r="L32" s="67"/>
      <c r="M32" s="67"/>
      <c r="N32" s="67"/>
      <c r="O32" s="67"/>
      <c r="P32" s="67"/>
      <c r="Q32" s="67"/>
      <c r="R32" s="67"/>
      <c r="S32" s="67"/>
      <c r="T32" s="67"/>
      <c r="U32" s="67"/>
      <c r="V32" s="67"/>
      <c r="W32" s="67"/>
      <c r="X32" s="67"/>
      <c r="Y32" s="67"/>
      <c r="Z32" s="67"/>
    </row>
    <row r="33" spans="1:26" ht="12.75" customHeight="1" x14ac:dyDescent="0.2">
      <c r="A33" s="95"/>
      <c r="B33" s="20"/>
      <c r="C33" s="20"/>
      <c r="D33" s="23" t="s">
        <v>113</v>
      </c>
      <c r="E33" s="160" t="str">
        <f>+'MODULO 6'!D35</f>
        <v>Visualización de resultados.</v>
      </c>
      <c r="F33" s="92"/>
      <c r="G33" s="161"/>
      <c r="H33" s="92"/>
      <c r="I33" s="66"/>
      <c r="J33" s="67"/>
      <c r="K33" s="67"/>
      <c r="L33" s="67"/>
      <c r="M33" s="67"/>
      <c r="N33" s="67"/>
      <c r="O33" s="67"/>
      <c r="P33" s="67"/>
      <c r="Q33" s="67"/>
      <c r="R33" s="67"/>
      <c r="S33" s="67"/>
      <c r="T33" s="67"/>
      <c r="U33" s="67"/>
      <c r="V33" s="67"/>
      <c r="W33" s="67"/>
      <c r="X33" s="67"/>
      <c r="Y33" s="67"/>
      <c r="Z33" s="67"/>
    </row>
    <row r="34" spans="1:26" ht="12.75" customHeight="1" x14ac:dyDescent="0.2">
      <c r="A34" s="95"/>
      <c r="B34" s="20"/>
      <c r="C34" s="20"/>
      <c r="D34" s="23" t="s">
        <v>116</v>
      </c>
      <c r="E34" s="160" t="str">
        <f>+'MODULO 6'!D36</f>
        <v>Presentación ejecutiva.</v>
      </c>
      <c r="F34" s="92"/>
      <c r="G34" s="161"/>
      <c r="H34" s="92"/>
      <c r="I34" s="66"/>
      <c r="J34" s="67"/>
      <c r="K34" s="67"/>
      <c r="L34" s="67"/>
      <c r="M34" s="67"/>
      <c r="N34" s="67"/>
      <c r="O34" s="67"/>
      <c r="P34" s="67"/>
      <c r="Q34" s="67"/>
      <c r="R34" s="67"/>
      <c r="S34" s="67"/>
      <c r="T34" s="67"/>
      <c r="U34" s="67"/>
      <c r="V34" s="67"/>
      <c r="W34" s="67"/>
      <c r="X34" s="67"/>
      <c r="Y34" s="67"/>
      <c r="Z34" s="67"/>
    </row>
    <row r="35" spans="1:26" ht="12.75" customHeight="1" x14ac:dyDescent="0.2">
      <c r="A35" s="96"/>
      <c r="B35" s="20"/>
      <c r="C35" s="20"/>
      <c r="D35" s="23" t="s">
        <v>119</v>
      </c>
      <c r="E35" s="160" t="str">
        <f>+'MODULO 6'!D37</f>
        <v>Retroalimentación final.</v>
      </c>
      <c r="F35" s="92"/>
      <c r="G35" s="161"/>
      <c r="H35" s="92"/>
      <c r="I35" s="66"/>
      <c r="J35" s="67"/>
      <c r="K35" s="67"/>
      <c r="L35" s="67"/>
      <c r="M35" s="67"/>
      <c r="N35" s="67"/>
      <c r="O35" s="67"/>
      <c r="P35" s="67"/>
      <c r="Q35" s="67"/>
      <c r="R35" s="67"/>
      <c r="S35" s="67"/>
      <c r="T35" s="67"/>
      <c r="U35" s="67"/>
      <c r="V35" s="67"/>
      <c r="W35" s="67"/>
      <c r="X35" s="67"/>
      <c r="Y35" s="67"/>
      <c r="Z35" s="67"/>
    </row>
    <row r="36" spans="1:26" ht="54.75" customHeight="1" x14ac:dyDescent="0.2">
      <c r="A36" s="36" t="s">
        <v>140</v>
      </c>
      <c r="B36" s="170" t="str">
        <f>+'MODULO 6'!B42:H42</f>
        <v>Goodfellow, I., Bengio, Y., &amp; Courville, A. (2021). Deep Learning. MIT Press. https://www.deeplearningbook.org
Murphy, K. (2022). Probabilistic Machine Learning. MIT Press. https://probml.github.io/pml-book/
Chollet, F. (2021). Deep Learning with Python. Manning Publications. https://www.manning.com</v>
      </c>
      <c r="C36" s="91"/>
      <c r="D36" s="91"/>
      <c r="E36" s="91"/>
      <c r="F36" s="91"/>
      <c r="G36" s="91"/>
      <c r="H36" s="91"/>
      <c r="I36" s="92"/>
      <c r="J36" s="67"/>
      <c r="K36" s="67"/>
      <c r="L36" s="67"/>
      <c r="M36" s="67"/>
      <c r="N36" s="67"/>
      <c r="O36" s="67"/>
      <c r="P36" s="67"/>
      <c r="Q36" s="67"/>
      <c r="R36" s="67"/>
      <c r="S36" s="67"/>
      <c r="T36" s="67"/>
      <c r="U36" s="67"/>
      <c r="V36" s="67"/>
      <c r="W36" s="67"/>
      <c r="X36" s="67"/>
      <c r="Y36" s="67"/>
      <c r="Z36" s="67"/>
    </row>
    <row r="37" spans="1:26" ht="12.75" customHeight="1" x14ac:dyDescent="0.2">
      <c r="A37" s="175" t="s">
        <v>167</v>
      </c>
      <c r="B37" s="168" t="s">
        <v>44</v>
      </c>
      <c r="C37" s="91"/>
      <c r="D37" s="92"/>
      <c r="E37" s="168" t="s">
        <v>171</v>
      </c>
      <c r="F37" s="92"/>
      <c r="G37" s="39" t="s">
        <v>172</v>
      </c>
      <c r="H37" s="39" t="s">
        <v>176</v>
      </c>
      <c r="I37" s="39" t="s">
        <v>177</v>
      </c>
      <c r="J37" s="67"/>
      <c r="K37" s="67"/>
      <c r="L37" s="67"/>
      <c r="M37" s="67"/>
      <c r="N37" s="67"/>
      <c r="O37" s="67"/>
      <c r="P37" s="67"/>
      <c r="Q37" s="67"/>
      <c r="R37" s="67"/>
      <c r="S37" s="67"/>
      <c r="T37" s="67"/>
      <c r="U37" s="67"/>
      <c r="V37" s="67"/>
      <c r="W37" s="67"/>
      <c r="X37" s="67"/>
      <c r="Y37" s="67"/>
      <c r="Z37" s="67"/>
    </row>
    <row r="38" spans="1:26" ht="12.75" customHeight="1" x14ac:dyDescent="0.2">
      <c r="A38" s="95"/>
      <c r="B38" s="169"/>
      <c r="C38" s="91"/>
      <c r="D38" s="92"/>
      <c r="E38" s="169"/>
      <c r="F38" s="92"/>
      <c r="G38" s="42"/>
      <c r="H38" s="42"/>
      <c r="I38" s="47">
        <f t="shared" ref="I38:I42" si="0">+G38*H38</f>
        <v>0</v>
      </c>
      <c r="J38" s="67"/>
      <c r="K38" s="67"/>
      <c r="L38" s="67"/>
      <c r="M38" s="67"/>
      <c r="N38" s="67"/>
      <c r="O38" s="67"/>
      <c r="P38" s="67"/>
      <c r="Q38" s="67"/>
      <c r="R38" s="67"/>
      <c r="S38" s="67"/>
      <c r="T38" s="67"/>
      <c r="U38" s="67"/>
      <c r="V38" s="67"/>
      <c r="W38" s="67"/>
      <c r="X38" s="67"/>
      <c r="Y38" s="67"/>
      <c r="Z38" s="67"/>
    </row>
    <row r="39" spans="1:26" ht="12.75" customHeight="1" x14ac:dyDescent="0.2">
      <c r="A39" s="95"/>
      <c r="B39" s="169"/>
      <c r="C39" s="91"/>
      <c r="D39" s="92"/>
      <c r="E39" s="169"/>
      <c r="F39" s="92"/>
      <c r="G39" s="42"/>
      <c r="H39" s="42"/>
      <c r="I39" s="47">
        <f t="shared" si="0"/>
        <v>0</v>
      </c>
      <c r="J39" s="67"/>
      <c r="K39" s="67"/>
      <c r="L39" s="67"/>
      <c r="M39" s="67"/>
      <c r="N39" s="67"/>
      <c r="O39" s="67"/>
      <c r="P39" s="67"/>
      <c r="Q39" s="67"/>
      <c r="R39" s="67"/>
      <c r="S39" s="67"/>
      <c r="T39" s="67"/>
      <c r="U39" s="67"/>
      <c r="V39" s="67"/>
      <c r="W39" s="67"/>
      <c r="X39" s="67"/>
      <c r="Y39" s="67"/>
      <c r="Z39" s="67"/>
    </row>
    <row r="40" spans="1:26" ht="12.75" customHeight="1" x14ac:dyDescent="0.2">
      <c r="A40" s="95"/>
      <c r="B40" s="169"/>
      <c r="C40" s="91"/>
      <c r="D40" s="92"/>
      <c r="E40" s="169"/>
      <c r="F40" s="92"/>
      <c r="G40" s="42"/>
      <c r="H40" s="42"/>
      <c r="I40" s="47">
        <f t="shared" si="0"/>
        <v>0</v>
      </c>
      <c r="J40" s="67"/>
      <c r="K40" s="67"/>
      <c r="L40" s="67"/>
      <c r="M40" s="67"/>
      <c r="N40" s="67"/>
      <c r="O40" s="67"/>
      <c r="P40" s="67"/>
      <c r="Q40" s="67"/>
      <c r="R40" s="67"/>
      <c r="S40" s="67"/>
      <c r="T40" s="67"/>
      <c r="U40" s="67"/>
      <c r="V40" s="67"/>
      <c r="W40" s="67"/>
      <c r="X40" s="67"/>
      <c r="Y40" s="67"/>
      <c r="Z40" s="67"/>
    </row>
    <row r="41" spans="1:26" ht="12.75" customHeight="1" x14ac:dyDescent="0.2">
      <c r="A41" s="95"/>
      <c r="B41" s="169"/>
      <c r="C41" s="91"/>
      <c r="D41" s="92"/>
      <c r="E41" s="169"/>
      <c r="F41" s="92"/>
      <c r="G41" s="42"/>
      <c r="H41" s="42"/>
      <c r="I41" s="47">
        <f t="shared" si="0"/>
        <v>0</v>
      </c>
      <c r="J41" s="67"/>
      <c r="K41" s="67"/>
      <c r="L41" s="67"/>
      <c r="M41" s="67"/>
      <c r="N41" s="67"/>
      <c r="O41" s="67"/>
      <c r="P41" s="67"/>
      <c r="Q41" s="67"/>
      <c r="R41" s="67"/>
      <c r="S41" s="67"/>
      <c r="T41" s="67"/>
      <c r="U41" s="67"/>
      <c r="V41" s="67"/>
      <c r="W41" s="67"/>
      <c r="X41" s="67"/>
      <c r="Y41" s="67"/>
      <c r="Z41" s="67"/>
    </row>
    <row r="42" spans="1:26" ht="12.75" customHeight="1" x14ac:dyDescent="0.2">
      <c r="A42" s="95"/>
      <c r="B42" s="169"/>
      <c r="C42" s="91"/>
      <c r="D42" s="92"/>
      <c r="E42" s="169"/>
      <c r="F42" s="92"/>
      <c r="G42" s="42"/>
      <c r="H42" s="42"/>
      <c r="I42" s="47">
        <f t="shared" si="0"/>
        <v>0</v>
      </c>
      <c r="J42" s="67"/>
      <c r="K42" s="67"/>
      <c r="L42" s="67"/>
      <c r="M42" s="67"/>
      <c r="N42" s="67"/>
      <c r="O42" s="67"/>
      <c r="P42" s="67"/>
      <c r="Q42" s="67"/>
      <c r="R42" s="67"/>
      <c r="S42" s="67"/>
      <c r="T42" s="67"/>
      <c r="U42" s="67"/>
      <c r="V42" s="67"/>
      <c r="W42" s="67"/>
      <c r="X42" s="67"/>
      <c r="Y42" s="67"/>
      <c r="Z42" s="67"/>
    </row>
    <row r="43" spans="1:26" ht="12.75" customHeight="1" x14ac:dyDescent="0.2">
      <c r="A43" s="97"/>
      <c r="B43" s="171" t="s">
        <v>181</v>
      </c>
      <c r="C43" s="91"/>
      <c r="D43" s="91"/>
      <c r="E43" s="91"/>
      <c r="F43" s="91"/>
      <c r="G43" s="91"/>
      <c r="H43" s="92"/>
      <c r="I43" s="47">
        <f>SUM(I38:I42)</f>
        <v>0</v>
      </c>
      <c r="J43" s="67"/>
      <c r="K43" s="67"/>
      <c r="L43" s="67"/>
      <c r="M43" s="67"/>
      <c r="N43" s="67"/>
      <c r="O43" s="67"/>
      <c r="P43" s="67"/>
      <c r="Q43" s="67"/>
      <c r="R43" s="67"/>
      <c r="S43" s="67"/>
      <c r="T43" s="67"/>
      <c r="U43" s="67"/>
      <c r="V43" s="67"/>
      <c r="W43" s="67"/>
      <c r="X43" s="67"/>
      <c r="Y43" s="67"/>
      <c r="Z43" s="67"/>
    </row>
    <row r="44" spans="1:26" ht="12.75" customHeight="1" x14ac:dyDescent="0.2">
      <c r="A44" s="172" t="s">
        <v>182</v>
      </c>
      <c r="B44" s="173"/>
      <c r="C44" s="111"/>
      <c r="D44" s="111"/>
      <c r="E44" s="133"/>
      <c r="F44" s="50" t="s">
        <v>183</v>
      </c>
      <c r="G44" s="172" t="s">
        <v>161</v>
      </c>
      <c r="H44" s="174"/>
      <c r="I44" s="133"/>
      <c r="J44" s="67"/>
      <c r="K44" s="67"/>
      <c r="L44" s="67"/>
      <c r="M44" s="67"/>
      <c r="N44" s="67"/>
      <c r="O44" s="67"/>
      <c r="P44" s="67"/>
      <c r="Q44" s="67"/>
      <c r="R44" s="67"/>
      <c r="S44" s="67"/>
      <c r="T44" s="67"/>
      <c r="U44" s="67"/>
      <c r="V44" s="67"/>
      <c r="W44" s="67"/>
      <c r="X44" s="67"/>
      <c r="Y44" s="67"/>
      <c r="Z44" s="67"/>
    </row>
    <row r="45" spans="1:26" ht="12.75" customHeight="1" x14ac:dyDescent="0.2">
      <c r="A45" s="97"/>
      <c r="B45" s="114"/>
      <c r="C45" s="115"/>
      <c r="D45" s="115"/>
      <c r="E45" s="134"/>
      <c r="F45" s="52"/>
      <c r="G45" s="97"/>
      <c r="H45" s="114"/>
      <c r="I45" s="134"/>
      <c r="J45" s="67"/>
      <c r="K45" s="67"/>
      <c r="L45" s="67"/>
      <c r="M45" s="67"/>
      <c r="N45" s="67"/>
      <c r="O45" s="67"/>
      <c r="P45" s="67"/>
      <c r="Q45" s="67"/>
      <c r="R45" s="67"/>
      <c r="S45" s="67"/>
      <c r="T45" s="67"/>
      <c r="U45" s="67"/>
      <c r="V45" s="67"/>
      <c r="W45" s="67"/>
      <c r="X45" s="67"/>
      <c r="Y45" s="67"/>
      <c r="Z45" s="67"/>
    </row>
    <row r="46" spans="1:26" ht="12.75" customHeight="1" x14ac:dyDescent="0.2">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ht="12.75" customHeight="1" x14ac:dyDescent="0.2">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ht="12.75" customHeight="1" x14ac:dyDescent="0.2">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ht="12.75" customHeight="1" x14ac:dyDescent="0.2">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ht="12.75" customHeight="1" x14ac:dyDescent="0.2">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ht="12.75" customHeight="1" x14ac:dyDescent="0.2">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ht="12.75" customHeight="1" x14ac:dyDescent="0.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ht="12.75" customHeight="1" x14ac:dyDescent="0.2">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ht="12.75" customHeight="1" x14ac:dyDescent="0.2">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ht="12.75" customHeight="1" x14ac:dyDescent="0.2">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ht="12.75" customHeight="1" x14ac:dyDescent="0.2">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ht="12.75" customHeight="1" x14ac:dyDescent="0.2">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ht="12.75" customHeight="1" x14ac:dyDescent="0.2">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ht="12.75" customHeight="1" x14ac:dyDescent="0.2">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2.75" customHeight="1" x14ac:dyDescent="0.2">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ht="12.75" customHeight="1" x14ac:dyDescent="0.2">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2.75" customHeight="1" x14ac:dyDescent="0.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ht="12.75" customHeight="1" x14ac:dyDescent="0.2">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ht="12.75" customHeight="1" x14ac:dyDescent="0.2">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ht="12.75" customHeight="1" x14ac:dyDescent="0.2">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ht="12.75" customHeight="1" x14ac:dyDescent="0.2">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ht="12.75" customHeight="1" x14ac:dyDescent="0.2">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ht="12.75" customHeight="1" x14ac:dyDescent="0.2">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ht="12.75" customHeight="1" x14ac:dyDescent="0.2">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ht="12.75" customHeight="1"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ht="12.75" customHeight="1" x14ac:dyDescent="0.2">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ht="12.75" customHeight="1"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ht="12.75" customHeight="1" x14ac:dyDescent="0.2">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ht="12.75" customHeight="1"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ht="12.75" customHeight="1" x14ac:dyDescent="0.2">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ht="12.75" customHeight="1" x14ac:dyDescent="0.2">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ht="12.75" customHeight="1" x14ac:dyDescent="0.2">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ht="12.75" customHeight="1" x14ac:dyDescent="0.2">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ht="12.75" customHeight="1" x14ac:dyDescent="0.2">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2.75" customHeight="1" x14ac:dyDescent="0.2">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2.75" customHeight="1" x14ac:dyDescent="0.2">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2.75" customHeight="1" x14ac:dyDescent="0.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2.75" customHeight="1" x14ac:dyDescent="0.2">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2.75" customHeight="1" x14ac:dyDescent="0.2">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2.75" customHeight="1"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2.75" customHeight="1" x14ac:dyDescent="0.2">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2.75" customHeight="1" x14ac:dyDescent="0.2">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2.75" customHeight="1" x14ac:dyDescent="0.2">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2.75" customHeight="1" x14ac:dyDescent="0.2">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2.75" customHeight="1" x14ac:dyDescent="0.2">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2.75" customHeight="1" x14ac:dyDescent="0.2">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2.75" customHeight="1" x14ac:dyDescent="0.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2.75" customHeight="1" x14ac:dyDescent="0.2">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2.75" customHeight="1" x14ac:dyDescent="0.2">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2.75" customHeight="1" x14ac:dyDescent="0.2">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2.75" customHeight="1" x14ac:dyDescent="0.2">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2.75" customHeight="1" x14ac:dyDescent="0.2">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2.75" customHeight="1" x14ac:dyDescent="0.2">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2.75" customHeight="1" x14ac:dyDescent="0.2">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2.75" customHeight="1" x14ac:dyDescent="0.2">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2.75" customHeight="1" x14ac:dyDescent="0.2">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2.75" customHeight="1" x14ac:dyDescent="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2.75" customHeight="1" x14ac:dyDescent="0.2">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2.75" customHeight="1" x14ac:dyDescent="0.2">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2.75" customHeight="1" x14ac:dyDescent="0.2">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2.75" customHeight="1" x14ac:dyDescent="0.2">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2.75" customHeight="1" x14ac:dyDescent="0.2">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2.75" customHeight="1" x14ac:dyDescent="0.2">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2.75" customHeight="1" x14ac:dyDescent="0.2">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2.75" customHeight="1" x14ac:dyDescent="0.2">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2.75" customHeight="1"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2.75" customHeight="1"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2.75" customHeight="1"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2.75" customHeight="1" x14ac:dyDescent="0.2">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2.75" customHeight="1"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2.75" customHeight="1" x14ac:dyDescent="0.2">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2.75" customHeight="1"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2.75" customHeight="1"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2.75" customHeight="1"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2.75" customHeight="1"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2.7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2.7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2.7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2.7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2.7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2.7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2.7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2.7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2.7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2.7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2.7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2.7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2.7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2.7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2.7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2.7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2.7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2.7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2.7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2.7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2.7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2.7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2.7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2.7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2.7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2.7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2.7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2.7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2.7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2.7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2.7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2.7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2.7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2.7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2.7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2.7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2.7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2.7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2.7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2.7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2.7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2.7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2.7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2.7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2.7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2.7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2.7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2.7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2.7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2.7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2.7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2.7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2.7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2.7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2.7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2.7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2.7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2.7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2.7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2.7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2.7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2.7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2.7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2.7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2.7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2.7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2.7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2.7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2.7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2.7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2.7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2.7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2.7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2.7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2.7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2.7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2.7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2.7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2.7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2.7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2.7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2.7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2.7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2.7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2.7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2.7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2.7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2.7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2.7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2.7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2.7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2.7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2.7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2.7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2.7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2.7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2.7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2.75"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2.75"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2.75"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2.75"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2.75" customHeight="1" x14ac:dyDescent="0.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2.75" customHeight="1" x14ac:dyDescent="0.2">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2.75" customHeight="1" x14ac:dyDescent="0.2">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2.75" customHeight="1" x14ac:dyDescent="0.2">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2.75" customHeight="1" x14ac:dyDescent="0.2">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2.75" customHeight="1" x14ac:dyDescent="0.2">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2.75" customHeight="1" x14ac:dyDescent="0.2">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2.75" customHeight="1" x14ac:dyDescent="0.2">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2.75" customHeight="1" x14ac:dyDescent="0.2">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2.75" customHeight="1" x14ac:dyDescent="0.2">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2.75" customHeight="1" x14ac:dyDescent="0.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2.75" customHeight="1" x14ac:dyDescent="0.2">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2.75" customHeight="1" x14ac:dyDescent="0.2">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2.75" customHeight="1" x14ac:dyDescent="0.2">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2.75" customHeight="1" x14ac:dyDescent="0.2">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2.75" customHeight="1" x14ac:dyDescent="0.2">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2.75" customHeight="1" x14ac:dyDescent="0.2">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2.75" customHeight="1" x14ac:dyDescent="0.2">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2.75" customHeight="1" x14ac:dyDescent="0.2">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2.75" customHeight="1" x14ac:dyDescent="0.2">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2.75" customHeight="1" x14ac:dyDescent="0.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2.75" customHeight="1" x14ac:dyDescent="0.2">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2.75" customHeight="1" x14ac:dyDescent="0.2">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2.75" customHeight="1" x14ac:dyDescent="0.2">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2.75" customHeight="1" x14ac:dyDescent="0.2">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2.75" customHeight="1" x14ac:dyDescent="0.2">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2.75" customHeight="1" x14ac:dyDescent="0.2">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2.75" customHeight="1" x14ac:dyDescent="0.2">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2.75" customHeight="1" x14ac:dyDescent="0.2">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2.75" customHeight="1" x14ac:dyDescent="0.2">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2.75" customHeight="1" x14ac:dyDescent="0.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2.75" customHeight="1" x14ac:dyDescent="0.2">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2.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2.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2.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2.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2.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2.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2.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2.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2.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2.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2.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2.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2.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2.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2.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2.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2.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2.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2.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2.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2.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2.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2.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2.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2.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2.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2.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2.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2.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2.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2.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2.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2.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2.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2.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2.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2.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2.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2.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2.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2.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2.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2.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2.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2.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2.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2.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2.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2.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2.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2.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2.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2.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2.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2.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2.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2.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2.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2.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2.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2.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2.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2.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2.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2.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2.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2.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2.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2.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2.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2.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2.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2.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2.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2.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2.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2.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2.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2.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2.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2.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2.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2.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2.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2.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2.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2.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2.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2.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2.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2.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2.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2.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2.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2.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2.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2.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2.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2.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2.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2.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2.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2.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2.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2.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2.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2.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2.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2.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2.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2.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2.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2.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2.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2.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2.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2.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2.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2.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2.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2.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2.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2.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2.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2.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2.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2.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2.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2.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2.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2.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2.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2.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2.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2.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2.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2.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2.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2.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2.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2.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2.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2.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2.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2.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2.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2.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2.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2.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2.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2.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2.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2.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2.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2.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2.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2.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2.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2.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2.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2.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2.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2.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2.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2.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2.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2.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2.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2.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2.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2.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2.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2.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2.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2.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2.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2.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2.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2.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2.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2.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2.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2.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2.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2.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2.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2.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2.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2.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2.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2.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2.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2.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2.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2.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2.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2.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2.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2.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2.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2.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2.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2.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2.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2.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2.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2.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2.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2.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2.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2.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2.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2.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2.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2.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2.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2.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2.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2.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2.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2.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2.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2.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2.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2.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2.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2.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2.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2.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2.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2.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2.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2.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2.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2.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2.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2.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2.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2.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2.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2.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2.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2.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2.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2.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2.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2.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2.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2.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2.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2.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2.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2.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2.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2.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2.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2.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2.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2.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2.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2.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2.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2.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2.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2.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2.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2.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2.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2.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2.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2.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2.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2.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2.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2.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2.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2.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2.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2.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2.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2.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2.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2.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2.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2.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2.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2.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2.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2.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2.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2.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2.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2.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2.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2.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2.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2.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2.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2.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2.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2.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2.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2.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2.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2.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2.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2.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2.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2.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2.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2.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2.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2.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2.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2.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2.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2.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2.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2.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2.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2.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2.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2.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2.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2.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2.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2.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2.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2.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2.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2.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2.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2.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2.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2.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2.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2.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2.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2.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2.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2.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2.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2.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2.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2.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2.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2.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2.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2.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2.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2.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2.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2.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2.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2.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2.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2.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2.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2.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2.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2.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2.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2.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2.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2.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2.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2.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2.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2.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2.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2.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2.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2.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2.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2.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2.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2.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2.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2.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2.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2.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2.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2.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2.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2.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2.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2.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2.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2.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2.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2.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2.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2.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2.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2.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2.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2.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2.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2.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2.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2.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2.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2.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2.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2.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2.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2.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2.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2.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2.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2.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2.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2.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2.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2.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2.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2.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2.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2.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2.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2.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2.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2.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2.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2.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2.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2.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2.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2.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2.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2.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2.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2.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2.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2.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2.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2.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2.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2.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2.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2.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2.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2.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2.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2.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2.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2.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2.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2.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2.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2.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2.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2.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2.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2.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2.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2.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2.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2.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2.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2.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2.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2.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2.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2.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2.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2.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2.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2.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2.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2.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2.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2.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2.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2.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2.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2.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2.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2.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2.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2.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2.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2.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2.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2.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2.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2.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2.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2.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2.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2.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2.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2.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2.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2.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2.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2.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2.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2.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2.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2.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2.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2.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2.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2.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2.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2.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2.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2.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2.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2.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2.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2.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2.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2.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2.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2.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2.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2.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2.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2.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2.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2.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2.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2.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2.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2.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2.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2.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2.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2.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2.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2.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2.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2.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2.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2.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2.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2.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2.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2.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2.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2.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2.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2.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2.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2.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2.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2.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2.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2.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2.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2.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2.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2.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2.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2.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2.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2.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2.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2.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2.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2.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2.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2.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2.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2.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2.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2.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2.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2.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2.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2.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2.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2.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2.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2.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2.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2.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2.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2.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2.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2.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2.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2.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2.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2.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2.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2.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2.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2.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2.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2.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2.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2.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2.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2.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2.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2.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2.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2.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2.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2.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2.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2.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2.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2.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2.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2.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2.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2.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2.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2.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2.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2.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2.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2.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2.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2.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2.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2.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2.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2.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2.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2.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2.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2.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2.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2.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2.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2.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2.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2.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2.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2.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2.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2.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2.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2.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2.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2.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2.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2.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2.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2.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2.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2.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2.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2.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2.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2.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2.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2.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2.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2.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2.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2.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2.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2.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2.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2.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2.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2.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2.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2.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2.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2.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2.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2.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2.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2.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2.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2.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2.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2.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2.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2.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2.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2.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2.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2.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2.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2.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2.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2.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2.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2.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2.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2.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2.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2.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2.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2.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2.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2.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2.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2.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2.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2.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2.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2.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2.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2.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2.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2.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2.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2.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2.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2.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2.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2.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2.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2.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2.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2.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2.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2.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2.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2.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2.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2.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2.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2.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2.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2.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2.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2.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2.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2.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2.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2.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2.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2.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2.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2.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2.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2.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2.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2.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2.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2.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2.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2.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2.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2.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2.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2.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89">
    <mergeCell ref="G16:H16"/>
    <mergeCell ref="G17:H17"/>
    <mergeCell ref="A21:A25"/>
    <mergeCell ref="A26:A30"/>
    <mergeCell ref="E26:F26"/>
    <mergeCell ref="G26:H26"/>
    <mergeCell ref="E27:F27"/>
    <mergeCell ref="G27:H27"/>
    <mergeCell ref="E28:F28"/>
    <mergeCell ref="G28:H28"/>
    <mergeCell ref="E30:F30"/>
    <mergeCell ref="A31:A35"/>
    <mergeCell ref="E31:F31"/>
    <mergeCell ref="E32:F32"/>
    <mergeCell ref="E33:F33"/>
    <mergeCell ref="E34:F34"/>
    <mergeCell ref="E35:F35"/>
    <mergeCell ref="B42:D42"/>
    <mergeCell ref="E42:F42"/>
    <mergeCell ref="B43:H43"/>
    <mergeCell ref="A44:A45"/>
    <mergeCell ref="B44:E45"/>
    <mergeCell ref="G44:G45"/>
    <mergeCell ref="H44:I45"/>
    <mergeCell ref="A37:A43"/>
    <mergeCell ref="B37:D37"/>
    <mergeCell ref="B39:D39"/>
    <mergeCell ref="E39:F39"/>
    <mergeCell ref="B40:D40"/>
    <mergeCell ref="E40:F40"/>
    <mergeCell ref="B41:D41"/>
    <mergeCell ref="E41:F41"/>
    <mergeCell ref="G34:H34"/>
    <mergeCell ref="G35:H35"/>
    <mergeCell ref="E37:F37"/>
    <mergeCell ref="B38:D38"/>
    <mergeCell ref="E38:F38"/>
    <mergeCell ref="B36:I36"/>
    <mergeCell ref="G30:H30"/>
    <mergeCell ref="G31:H31"/>
    <mergeCell ref="G32:H32"/>
    <mergeCell ref="G33:H33"/>
    <mergeCell ref="E23:F23"/>
    <mergeCell ref="G23:H23"/>
    <mergeCell ref="E24:F24"/>
    <mergeCell ref="G24:H24"/>
    <mergeCell ref="E25:F25"/>
    <mergeCell ref="G25:H25"/>
    <mergeCell ref="E29:F29"/>
    <mergeCell ref="G29:H29"/>
    <mergeCell ref="E20:F20"/>
    <mergeCell ref="G20:H20"/>
    <mergeCell ref="G21:H21"/>
    <mergeCell ref="E22:F22"/>
    <mergeCell ref="G22:H22"/>
    <mergeCell ref="E21:F21"/>
    <mergeCell ref="A10:A15"/>
    <mergeCell ref="E18:F18"/>
    <mergeCell ref="G18:H18"/>
    <mergeCell ref="E19:F19"/>
    <mergeCell ref="G19:H19"/>
    <mergeCell ref="E17:F17"/>
    <mergeCell ref="E16:F16"/>
    <mergeCell ref="E12:F12"/>
    <mergeCell ref="G12:H12"/>
    <mergeCell ref="E13:F13"/>
    <mergeCell ref="G13:H13"/>
    <mergeCell ref="E14:F14"/>
    <mergeCell ref="G14:H14"/>
    <mergeCell ref="E15:F15"/>
    <mergeCell ref="G15:H15"/>
    <mergeCell ref="A16:A20"/>
    <mergeCell ref="B4:I4"/>
    <mergeCell ref="H5:I5"/>
    <mergeCell ref="D10:F10"/>
    <mergeCell ref="G10:H10"/>
    <mergeCell ref="E11:F11"/>
    <mergeCell ref="G11:H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0C00-000000000000}">
          <x14:formula1>
            <xm:f>'LISTAS-OCULTAR'!$A$1:$A$4</xm:f>
          </x14:formula1>
          <xm:sqref>I11:I12 I14:I35</xm:sqref>
        </x14:dataValidation>
        <x14:dataValidation type="list" allowBlank="1" showErrorMessage="1" xr:uid="{00000000-0002-0000-0C00-000001000000}">
          <x14:formula1>
            <xm:f>'LISTAS-OCULTAR'!$A$1:$A$3</xm:f>
          </x14:formula1>
          <xm:sqref>B38:B42</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showGridLines="0" workbookViewId="0">
      <selection sqref="A1:B2"/>
    </sheetView>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22.5" customHeight="1" x14ac:dyDescent="0.25">
      <c r="A4" s="4" t="s">
        <v>7</v>
      </c>
      <c r="B4" s="139" t="str">
        <f>+'RESUMEN DIPLOMADO'!D3</f>
        <v>DIPLOMADO EN BIG DATA E INTELIGENCIA ARTIFICIAL</v>
      </c>
      <c r="C4" s="91"/>
      <c r="D4" s="91"/>
      <c r="E4" s="91"/>
      <c r="F4" s="92"/>
      <c r="G4" s="7" t="s">
        <v>9</v>
      </c>
      <c r="H4" s="10" t="str">
        <f>+'RESUMEN DIPLOMADO'!M3</f>
        <v>150 horas
120 horas sincrónicas y
30 horas asincrónicas</v>
      </c>
      <c r="I4" s="11"/>
      <c r="J4" s="11"/>
      <c r="K4" s="11"/>
      <c r="L4" s="11"/>
      <c r="M4" s="11"/>
      <c r="N4" s="11"/>
      <c r="O4" s="11"/>
      <c r="P4" s="11"/>
      <c r="Q4" s="11"/>
      <c r="R4" s="11"/>
      <c r="S4" s="11"/>
      <c r="T4" s="11"/>
      <c r="U4" s="11"/>
      <c r="V4" s="11"/>
      <c r="W4" s="11"/>
      <c r="X4" s="11"/>
      <c r="Y4" s="11"/>
      <c r="Z4" s="11"/>
    </row>
    <row r="5" spans="1:26" ht="22.5" customHeight="1" x14ac:dyDescent="0.25">
      <c r="A5" s="12" t="s">
        <v>231</v>
      </c>
      <c r="B5" s="139"/>
      <c r="C5" s="91"/>
      <c r="D5" s="91"/>
      <c r="E5" s="91"/>
      <c r="F5" s="92"/>
      <c r="G5" s="14" t="s">
        <v>9</v>
      </c>
      <c r="H5" s="75"/>
      <c r="I5" s="11"/>
      <c r="J5" s="11"/>
      <c r="K5" s="11"/>
      <c r="L5" s="11"/>
      <c r="M5" s="11"/>
      <c r="N5" s="11"/>
      <c r="O5" s="11"/>
      <c r="P5" s="11"/>
      <c r="Q5" s="11"/>
      <c r="R5" s="11"/>
      <c r="S5" s="11"/>
      <c r="T5" s="11"/>
      <c r="U5" s="11"/>
      <c r="V5" s="11"/>
      <c r="W5" s="11"/>
      <c r="X5" s="11"/>
      <c r="Y5" s="11"/>
      <c r="Z5" s="11"/>
    </row>
    <row r="6" spans="1:26" ht="102.75" customHeight="1" x14ac:dyDescent="0.2">
      <c r="A6" s="17" t="s">
        <v>34</v>
      </c>
      <c r="B6" s="140"/>
      <c r="C6" s="91"/>
      <c r="D6" s="91"/>
      <c r="E6" s="91"/>
      <c r="F6" s="91"/>
      <c r="G6" s="91"/>
      <c r="H6" s="92"/>
      <c r="I6" s="18"/>
      <c r="J6" s="18"/>
      <c r="K6" s="18"/>
      <c r="L6" s="18"/>
      <c r="M6" s="18"/>
      <c r="N6" s="18"/>
      <c r="O6" s="18"/>
      <c r="P6" s="18"/>
      <c r="Q6" s="18"/>
      <c r="R6" s="18"/>
      <c r="S6" s="18"/>
      <c r="T6" s="18"/>
      <c r="U6" s="18"/>
      <c r="V6" s="18"/>
      <c r="W6" s="18"/>
      <c r="X6" s="18"/>
      <c r="Y6" s="18"/>
      <c r="Z6" s="18"/>
    </row>
    <row r="7" spans="1:26" ht="27" customHeight="1" x14ac:dyDescent="0.2">
      <c r="A7" s="17" t="s">
        <v>13</v>
      </c>
      <c r="B7" s="140"/>
      <c r="C7" s="91"/>
      <c r="D7" s="91"/>
      <c r="E7" s="91"/>
      <c r="F7" s="91"/>
      <c r="G7" s="91"/>
      <c r="H7" s="92"/>
      <c r="I7" s="18"/>
      <c r="J7" s="18"/>
      <c r="K7" s="18"/>
      <c r="L7" s="18"/>
      <c r="M7" s="18"/>
      <c r="N7" s="18"/>
      <c r="O7" s="18"/>
      <c r="P7" s="18"/>
      <c r="Q7" s="18"/>
      <c r="R7" s="18"/>
      <c r="S7" s="18"/>
      <c r="T7" s="18"/>
      <c r="U7" s="18"/>
      <c r="V7" s="18"/>
      <c r="W7" s="18"/>
      <c r="X7" s="18"/>
      <c r="Y7" s="18"/>
      <c r="Z7" s="18"/>
    </row>
    <row r="8" spans="1:26" ht="30" customHeight="1" x14ac:dyDescent="0.2">
      <c r="A8" s="17" t="s">
        <v>31</v>
      </c>
      <c r="B8" s="140"/>
      <c r="C8" s="91"/>
      <c r="D8" s="91"/>
      <c r="E8" s="91"/>
      <c r="F8" s="91"/>
      <c r="G8" s="91"/>
      <c r="H8" s="92"/>
      <c r="I8" s="18"/>
      <c r="J8" s="18"/>
      <c r="K8" s="18"/>
      <c r="L8" s="18"/>
      <c r="M8" s="18"/>
      <c r="N8" s="18"/>
      <c r="O8" s="18"/>
      <c r="P8" s="18"/>
      <c r="Q8" s="18"/>
      <c r="R8" s="18"/>
      <c r="S8" s="18"/>
      <c r="T8" s="18"/>
      <c r="U8" s="18"/>
      <c r="V8" s="18"/>
      <c r="W8" s="18"/>
      <c r="X8" s="18"/>
      <c r="Y8" s="18"/>
      <c r="Z8" s="18"/>
    </row>
    <row r="9" spans="1:26" ht="30" customHeight="1" x14ac:dyDescent="0.2">
      <c r="A9" s="17" t="s">
        <v>22</v>
      </c>
      <c r="B9" s="140"/>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347</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65.25" customHeight="1" x14ac:dyDescent="0.2">
      <c r="A12" s="17" t="s">
        <v>30</v>
      </c>
      <c r="B12" s="140" t="s">
        <v>348</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9.25" customHeight="1" x14ac:dyDescent="0.2">
      <c r="A13" s="130" t="s">
        <v>41</v>
      </c>
      <c r="B13" s="131" t="s">
        <v>349</v>
      </c>
      <c r="C13" s="22" t="s">
        <v>47</v>
      </c>
      <c r="D13" s="141"/>
      <c r="E13" s="91"/>
      <c r="F13" s="91"/>
      <c r="G13" s="91"/>
      <c r="H13" s="178"/>
      <c r="I13" s="18"/>
      <c r="J13" s="18"/>
      <c r="K13" s="18"/>
      <c r="L13" s="18"/>
      <c r="M13" s="18"/>
      <c r="N13" s="18"/>
      <c r="O13" s="18"/>
      <c r="P13" s="18"/>
      <c r="Q13" s="18"/>
      <c r="R13" s="18"/>
      <c r="S13" s="18"/>
      <c r="T13" s="18"/>
      <c r="U13" s="18"/>
      <c r="V13" s="18"/>
      <c r="W13" s="18"/>
      <c r="X13" s="18"/>
      <c r="Y13" s="18"/>
      <c r="Z13" s="18"/>
    </row>
    <row r="14" spans="1:26" ht="28.5" customHeight="1" x14ac:dyDescent="0.2">
      <c r="A14" s="95"/>
      <c r="B14" s="95"/>
      <c r="C14" s="22" t="s">
        <v>49</v>
      </c>
      <c r="D14" s="141"/>
      <c r="E14" s="91"/>
      <c r="F14" s="91"/>
      <c r="G14" s="91"/>
      <c r="H14" s="92"/>
      <c r="I14" s="18"/>
      <c r="J14" s="18"/>
      <c r="K14" s="18"/>
      <c r="L14" s="18"/>
      <c r="M14" s="18"/>
      <c r="N14" s="18"/>
      <c r="O14" s="18"/>
      <c r="P14" s="18"/>
      <c r="Q14" s="18"/>
      <c r="R14" s="18"/>
      <c r="S14" s="18"/>
      <c r="T14" s="18"/>
      <c r="U14" s="18"/>
      <c r="V14" s="18"/>
      <c r="W14" s="18"/>
      <c r="X14" s="18"/>
      <c r="Y14" s="18"/>
      <c r="Z14" s="18"/>
    </row>
    <row r="15" spans="1:26" ht="28.5" customHeight="1" x14ac:dyDescent="0.2">
      <c r="A15" s="95"/>
      <c r="B15" s="95"/>
      <c r="C15" s="22" t="s">
        <v>52</v>
      </c>
      <c r="D15" s="142"/>
      <c r="E15" s="91"/>
      <c r="F15" s="91"/>
      <c r="G15" s="91"/>
      <c r="H15" s="92"/>
      <c r="I15" s="18"/>
      <c r="J15" s="18"/>
      <c r="K15" s="18"/>
      <c r="L15" s="18"/>
      <c r="M15" s="18"/>
      <c r="N15" s="18"/>
      <c r="O15" s="18"/>
      <c r="P15" s="18"/>
      <c r="Q15" s="18"/>
      <c r="R15" s="18"/>
      <c r="S15" s="18"/>
      <c r="T15" s="18"/>
      <c r="U15" s="18"/>
      <c r="V15" s="18"/>
      <c r="W15" s="18"/>
      <c r="X15" s="18"/>
      <c r="Y15" s="18"/>
      <c r="Z15" s="18"/>
    </row>
    <row r="16" spans="1:26" ht="28.5" customHeight="1" x14ac:dyDescent="0.2">
      <c r="A16" s="95"/>
      <c r="B16" s="95"/>
      <c r="C16" s="22" t="s">
        <v>55</v>
      </c>
      <c r="D16" s="142"/>
      <c r="E16" s="91"/>
      <c r="F16" s="91"/>
      <c r="G16" s="91"/>
      <c r="H16" s="92"/>
      <c r="I16" s="18"/>
      <c r="J16" s="18"/>
      <c r="K16" s="18"/>
      <c r="L16" s="18"/>
      <c r="M16" s="18"/>
      <c r="N16" s="18"/>
      <c r="O16" s="18"/>
      <c r="P16" s="18"/>
      <c r="Q16" s="18"/>
      <c r="R16" s="18"/>
      <c r="S16" s="18"/>
      <c r="T16" s="18"/>
      <c r="U16" s="18"/>
      <c r="V16" s="18"/>
      <c r="W16" s="18"/>
      <c r="X16" s="18"/>
      <c r="Y16" s="18"/>
      <c r="Z16" s="18"/>
    </row>
    <row r="17" spans="1:26" ht="28.5" customHeight="1" x14ac:dyDescent="0.2">
      <c r="A17" s="95"/>
      <c r="B17" s="97"/>
      <c r="C17" s="22" t="s">
        <v>57</v>
      </c>
      <c r="D17" s="142"/>
      <c r="E17" s="91"/>
      <c r="F17" s="91"/>
      <c r="G17" s="91"/>
      <c r="H17" s="92"/>
      <c r="I17" s="18"/>
      <c r="J17" s="18"/>
      <c r="K17" s="18"/>
      <c r="L17" s="18"/>
      <c r="M17" s="18"/>
      <c r="N17" s="18"/>
      <c r="O17" s="18"/>
      <c r="P17" s="18"/>
      <c r="Q17" s="18"/>
      <c r="R17" s="18"/>
      <c r="S17" s="18"/>
      <c r="T17" s="18"/>
      <c r="U17" s="18"/>
      <c r="V17" s="18"/>
      <c r="W17" s="18"/>
      <c r="X17" s="18"/>
      <c r="Y17" s="18"/>
      <c r="Z17" s="18"/>
    </row>
    <row r="18" spans="1:26" ht="28.5" customHeight="1" x14ac:dyDescent="0.2">
      <c r="A18" s="95"/>
      <c r="B18" s="131" t="s">
        <v>350</v>
      </c>
      <c r="C18" s="22" t="s">
        <v>61</v>
      </c>
      <c r="D18" s="142"/>
      <c r="E18" s="91"/>
      <c r="F18" s="91"/>
      <c r="G18" s="91"/>
      <c r="H18" s="92"/>
      <c r="I18" s="18"/>
      <c r="J18" s="18"/>
      <c r="K18" s="18"/>
      <c r="L18" s="18"/>
      <c r="M18" s="18"/>
      <c r="N18" s="18"/>
      <c r="O18" s="18"/>
      <c r="P18" s="18"/>
      <c r="Q18" s="18"/>
      <c r="R18" s="18"/>
      <c r="S18" s="18"/>
      <c r="T18" s="18"/>
      <c r="U18" s="18"/>
      <c r="V18" s="18"/>
      <c r="W18" s="18"/>
      <c r="X18" s="18"/>
      <c r="Y18" s="18"/>
      <c r="Z18" s="18"/>
    </row>
    <row r="19" spans="1:26" ht="28.5" customHeight="1" x14ac:dyDescent="0.2">
      <c r="A19" s="95"/>
      <c r="B19" s="95"/>
      <c r="C19" s="22" t="s">
        <v>64</v>
      </c>
      <c r="D19" s="142"/>
      <c r="E19" s="91"/>
      <c r="F19" s="91"/>
      <c r="G19" s="91"/>
      <c r="H19" s="92"/>
      <c r="I19" s="18"/>
      <c r="J19" s="18"/>
      <c r="K19" s="18"/>
      <c r="L19" s="18"/>
      <c r="M19" s="18"/>
      <c r="N19" s="18"/>
      <c r="O19" s="18"/>
      <c r="P19" s="18"/>
      <c r="Q19" s="18"/>
      <c r="R19" s="18"/>
      <c r="S19" s="18"/>
      <c r="T19" s="18"/>
      <c r="U19" s="18"/>
      <c r="V19" s="18"/>
      <c r="W19" s="18"/>
      <c r="X19" s="18"/>
      <c r="Y19" s="18"/>
      <c r="Z19" s="18"/>
    </row>
    <row r="20" spans="1:26" ht="28.5" customHeight="1" x14ac:dyDescent="0.2">
      <c r="A20" s="95"/>
      <c r="B20" s="95"/>
      <c r="C20" s="22" t="s">
        <v>66</v>
      </c>
      <c r="D20" s="142"/>
      <c r="E20" s="91"/>
      <c r="F20" s="91"/>
      <c r="G20" s="91"/>
      <c r="H20" s="92"/>
      <c r="I20" s="18"/>
      <c r="J20" s="18"/>
      <c r="K20" s="18"/>
      <c r="L20" s="18"/>
      <c r="M20" s="18"/>
      <c r="N20" s="18"/>
      <c r="O20" s="18"/>
      <c r="P20" s="18"/>
      <c r="Q20" s="18"/>
      <c r="R20" s="18"/>
      <c r="S20" s="18"/>
      <c r="T20" s="18"/>
      <c r="U20" s="18"/>
      <c r="V20" s="18"/>
      <c r="W20" s="18"/>
      <c r="X20" s="18"/>
      <c r="Y20" s="18"/>
      <c r="Z20" s="18"/>
    </row>
    <row r="21" spans="1:26" ht="28.5" customHeight="1" x14ac:dyDescent="0.2">
      <c r="A21" s="95"/>
      <c r="B21" s="95"/>
      <c r="C21" s="22" t="s">
        <v>69</v>
      </c>
      <c r="D21" s="142"/>
      <c r="E21" s="91"/>
      <c r="F21" s="91"/>
      <c r="G21" s="91"/>
      <c r="H21" s="92"/>
      <c r="I21" s="18"/>
      <c r="J21" s="18"/>
      <c r="K21" s="18"/>
      <c r="L21" s="18"/>
      <c r="M21" s="18"/>
      <c r="N21" s="18"/>
      <c r="O21" s="18"/>
      <c r="P21" s="18"/>
      <c r="Q21" s="18"/>
      <c r="R21" s="18"/>
      <c r="S21" s="18"/>
      <c r="T21" s="18"/>
      <c r="U21" s="18"/>
      <c r="V21" s="18"/>
      <c r="W21" s="18"/>
      <c r="X21" s="18"/>
      <c r="Y21" s="18"/>
      <c r="Z21" s="18"/>
    </row>
    <row r="22" spans="1:26" ht="28.5" customHeight="1" x14ac:dyDescent="0.2">
      <c r="A22" s="95"/>
      <c r="B22" s="97"/>
      <c r="C22" s="22" t="s">
        <v>72</v>
      </c>
      <c r="D22" s="142"/>
      <c r="E22" s="91"/>
      <c r="F22" s="91"/>
      <c r="G22" s="91"/>
      <c r="H22" s="92"/>
      <c r="I22" s="18"/>
      <c r="J22" s="18"/>
      <c r="K22" s="18"/>
      <c r="L22" s="18"/>
      <c r="M22" s="18"/>
      <c r="N22" s="18"/>
      <c r="O22" s="18"/>
      <c r="P22" s="18"/>
      <c r="Q22" s="18"/>
      <c r="R22" s="18"/>
      <c r="S22" s="18"/>
      <c r="T22" s="18"/>
      <c r="U22" s="18"/>
      <c r="V22" s="18"/>
      <c r="W22" s="18"/>
      <c r="X22" s="18"/>
      <c r="Y22" s="18"/>
      <c r="Z22" s="18"/>
    </row>
    <row r="23" spans="1:26" ht="28.5" customHeight="1" x14ac:dyDescent="0.2">
      <c r="A23" s="95"/>
      <c r="B23" s="131" t="s">
        <v>351</v>
      </c>
      <c r="C23" s="22" t="s">
        <v>76</v>
      </c>
      <c r="D23" s="142"/>
      <c r="E23" s="91"/>
      <c r="F23" s="91"/>
      <c r="G23" s="91"/>
      <c r="H23" s="92"/>
      <c r="I23" s="18"/>
      <c r="J23" s="18"/>
      <c r="K23" s="18"/>
      <c r="L23" s="18"/>
      <c r="M23" s="18"/>
      <c r="N23" s="18"/>
      <c r="O23" s="18"/>
      <c r="P23" s="18"/>
      <c r="Q23" s="18"/>
      <c r="R23" s="18"/>
      <c r="S23" s="18"/>
      <c r="T23" s="18"/>
      <c r="U23" s="18"/>
      <c r="V23" s="18"/>
      <c r="W23" s="18"/>
      <c r="X23" s="18"/>
      <c r="Y23" s="18"/>
      <c r="Z23" s="18"/>
    </row>
    <row r="24" spans="1:26" ht="28.5" customHeight="1" x14ac:dyDescent="0.2">
      <c r="A24" s="95"/>
      <c r="B24" s="95"/>
      <c r="C24" s="22" t="s">
        <v>78</v>
      </c>
      <c r="D24" s="142"/>
      <c r="E24" s="91"/>
      <c r="F24" s="91"/>
      <c r="G24" s="91"/>
      <c r="H24" s="92"/>
      <c r="I24" s="18"/>
      <c r="J24" s="18"/>
      <c r="K24" s="18"/>
      <c r="L24" s="18"/>
      <c r="M24" s="18"/>
      <c r="N24" s="18"/>
      <c r="O24" s="18"/>
      <c r="P24" s="18"/>
      <c r="Q24" s="18"/>
      <c r="R24" s="18"/>
      <c r="S24" s="18"/>
      <c r="T24" s="18"/>
      <c r="U24" s="18"/>
      <c r="V24" s="18"/>
      <c r="W24" s="18"/>
      <c r="X24" s="18"/>
      <c r="Y24" s="18"/>
      <c r="Z24" s="18"/>
    </row>
    <row r="25" spans="1:26" ht="28.5" customHeight="1" x14ac:dyDescent="0.2">
      <c r="A25" s="95"/>
      <c r="B25" s="95"/>
      <c r="C25" s="22" t="s">
        <v>81</v>
      </c>
      <c r="D25" s="142"/>
      <c r="E25" s="91"/>
      <c r="F25" s="91"/>
      <c r="G25" s="91"/>
      <c r="H25" s="92"/>
      <c r="I25" s="18"/>
      <c r="J25" s="18"/>
      <c r="K25" s="18"/>
      <c r="L25" s="18"/>
      <c r="M25" s="18"/>
      <c r="N25" s="18"/>
      <c r="O25" s="18"/>
      <c r="P25" s="18"/>
      <c r="Q25" s="18"/>
      <c r="R25" s="18"/>
      <c r="S25" s="18"/>
      <c r="T25" s="18"/>
      <c r="U25" s="18"/>
      <c r="V25" s="18"/>
      <c r="W25" s="18"/>
      <c r="X25" s="18"/>
      <c r="Y25" s="18"/>
      <c r="Z25" s="18"/>
    </row>
    <row r="26" spans="1:26" ht="28.5" customHeight="1" x14ac:dyDescent="0.2">
      <c r="A26" s="95"/>
      <c r="B26" s="95"/>
      <c r="C26" s="22" t="s">
        <v>85</v>
      </c>
      <c r="D26" s="142"/>
      <c r="E26" s="91"/>
      <c r="F26" s="91"/>
      <c r="G26" s="91"/>
      <c r="H26" s="92"/>
      <c r="I26" s="18"/>
      <c r="J26" s="18"/>
      <c r="K26" s="18"/>
      <c r="L26" s="18"/>
      <c r="M26" s="18"/>
      <c r="N26" s="18"/>
      <c r="O26" s="18"/>
      <c r="P26" s="18"/>
      <c r="Q26" s="18"/>
      <c r="R26" s="18"/>
      <c r="S26" s="18"/>
      <c r="T26" s="18"/>
      <c r="U26" s="18"/>
      <c r="V26" s="18"/>
      <c r="W26" s="18"/>
      <c r="X26" s="18"/>
      <c r="Y26" s="18"/>
      <c r="Z26" s="18"/>
    </row>
    <row r="27" spans="1:26" ht="28.5" customHeight="1" x14ac:dyDescent="0.2">
      <c r="A27" s="95"/>
      <c r="B27" s="97"/>
      <c r="C27" s="22" t="s">
        <v>87</v>
      </c>
      <c r="D27" s="142"/>
      <c r="E27" s="91"/>
      <c r="F27" s="91"/>
      <c r="G27" s="91"/>
      <c r="H27" s="92"/>
      <c r="I27" s="18"/>
      <c r="J27" s="18"/>
      <c r="K27" s="18"/>
      <c r="L27" s="18"/>
      <c r="M27" s="18"/>
      <c r="N27" s="18"/>
      <c r="O27" s="18"/>
      <c r="P27" s="18"/>
      <c r="Q27" s="18"/>
      <c r="R27" s="18"/>
      <c r="S27" s="18"/>
      <c r="T27" s="18"/>
      <c r="U27" s="18"/>
      <c r="V27" s="18"/>
      <c r="W27" s="18"/>
      <c r="X27" s="18"/>
      <c r="Y27" s="18"/>
      <c r="Z27" s="18"/>
    </row>
    <row r="28" spans="1:26" ht="28.5" customHeight="1" x14ac:dyDescent="0.2">
      <c r="A28" s="95"/>
      <c r="B28" s="131" t="s">
        <v>352</v>
      </c>
      <c r="C28" s="22" t="s">
        <v>92</v>
      </c>
      <c r="D28" s="142"/>
      <c r="E28" s="91"/>
      <c r="F28" s="91"/>
      <c r="G28" s="91"/>
      <c r="H28" s="92"/>
      <c r="I28" s="18"/>
      <c r="J28" s="18"/>
      <c r="K28" s="18"/>
      <c r="L28" s="18"/>
      <c r="M28" s="18"/>
      <c r="N28" s="18"/>
      <c r="O28" s="18"/>
      <c r="P28" s="18"/>
      <c r="Q28" s="18"/>
      <c r="R28" s="18"/>
      <c r="S28" s="18"/>
      <c r="T28" s="18"/>
      <c r="U28" s="18"/>
      <c r="V28" s="18"/>
      <c r="W28" s="18"/>
      <c r="X28" s="18"/>
      <c r="Y28" s="18"/>
      <c r="Z28" s="18"/>
    </row>
    <row r="29" spans="1:26" ht="28.5" customHeight="1" x14ac:dyDescent="0.2">
      <c r="A29" s="95"/>
      <c r="B29" s="95"/>
      <c r="C29" s="22" t="s">
        <v>95</v>
      </c>
      <c r="D29" s="142"/>
      <c r="E29" s="91"/>
      <c r="F29" s="91"/>
      <c r="G29" s="91"/>
      <c r="H29" s="92"/>
      <c r="I29" s="18"/>
      <c r="J29" s="18"/>
      <c r="K29" s="18"/>
      <c r="L29" s="18"/>
      <c r="M29" s="18"/>
      <c r="N29" s="18"/>
      <c r="O29" s="18"/>
      <c r="P29" s="18"/>
      <c r="Q29" s="18"/>
      <c r="R29" s="18"/>
      <c r="S29" s="18"/>
      <c r="T29" s="18"/>
      <c r="U29" s="18"/>
      <c r="V29" s="18"/>
      <c r="W29" s="18"/>
      <c r="X29" s="18"/>
      <c r="Y29" s="18"/>
      <c r="Z29" s="18"/>
    </row>
    <row r="30" spans="1:26" ht="28.5" customHeight="1" x14ac:dyDescent="0.2">
      <c r="A30" s="95"/>
      <c r="B30" s="95"/>
      <c r="C30" s="22" t="s">
        <v>98</v>
      </c>
      <c r="D30" s="142"/>
      <c r="E30" s="91"/>
      <c r="F30" s="91"/>
      <c r="G30" s="91"/>
      <c r="H30" s="92"/>
      <c r="I30" s="18"/>
      <c r="J30" s="18"/>
      <c r="K30" s="18"/>
      <c r="L30" s="18"/>
      <c r="M30" s="18"/>
      <c r="N30" s="18"/>
      <c r="O30" s="18"/>
      <c r="P30" s="18"/>
      <c r="Q30" s="18"/>
      <c r="R30" s="18"/>
      <c r="S30" s="18"/>
      <c r="T30" s="18"/>
      <c r="U30" s="18"/>
      <c r="V30" s="18"/>
      <c r="W30" s="18"/>
      <c r="X30" s="18"/>
      <c r="Y30" s="18"/>
      <c r="Z30" s="18"/>
    </row>
    <row r="31" spans="1:26" ht="28.5" customHeight="1" x14ac:dyDescent="0.2">
      <c r="A31" s="95"/>
      <c r="B31" s="95"/>
      <c r="C31" s="22" t="s">
        <v>101</v>
      </c>
      <c r="D31" s="142"/>
      <c r="E31" s="91"/>
      <c r="F31" s="91"/>
      <c r="G31" s="91"/>
      <c r="H31" s="92"/>
      <c r="I31" s="18"/>
      <c r="J31" s="18"/>
      <c r="K31" s="18"/>
      <c r="L31" s="18"/>
      <c r="M31" s="18"/>
      <c r="N31" s="18"/>
      <c r="O31" s="18"/>
      <c r="P31" s="18"/>
      <c r="Q31" s="18"/>
      <c r="R31" s="18"/>
      <c r="S31" s="18"/>
      <c r="T31" s="18"/>
      <c r="U31" s="18"/>
      <c r="V31" s="18"/>
      <c r="W31" s="18"/>
      <c r="X31" s="18"/>
      <c r="Y31" s="18"/>
      <c r="Z31" s="18"/>
    </row>
    <row r="32" spans="1:26" ht="28.5" customHeight="1" x14ac:dyDescent="0.2">
      <c r="A32" s="95"/>
      <c r="B32" s="97"/>
      <c r="C32" s="22" t="s">
        <v>104</v>
      </c>
      <c r="D32" s="142"/>
      <c r="E32" s="91"/>
      <c r="F32" s="91"/>
      <c r="G32" s="91"/>
      <c r="H32" s="92"/>
      <c r="I32" s="18"/>
      <c r="J32" s="18"/>
      <c r="K32" s="18"/>
      <c r="L32" s="18"/>
      <c r="M32" s="18"/>
      <c r="N32" s="18"/>
      <c r="O32" s="18"/>
      <c r="P32" s="18"/>
      <c r="Q32" s="18"/>
      <c r="R32" s="18"/>
      <c r="S32" s="18"/>
      <c r="T32" s="18"/>
      <c r="U32" s="18"/>
      <c r="V32" s="18"/>
      <c r="W32" s="18"/>
      <c r="X32" s="18"/>
      <c r="Y32" s="18"/>
      <c r="Z32" s="18"/>
    </row>
    <row r="33" spans="1:26" ht="28.5" customHeight="1" x14ac:dyDescent="0.2">
      <c r="A33" s="95"/>
      <c r="B33" s="131" t="s">
        <v>353</v>
      </c>
      <c r="C33" s="22" t="s">
        <v>108</v>
      </c>
      <c r="D33" s="142"/>
      <c r="E33" s="91"/>
      <c r="F33" s="91"/>
      <c r="G33" s="91"/>
      <c r="H33" s="92"/>
      <c r="I33" s="18"/>
      <c r="J33" s="18"/>
      <c r="K33" s="18"/>
      <c r="L33" s="18"/>
      <c r="M33" s="18"/>
      <c r="N33" s="18"/>
      <c r="O33" s="18"/>
      <c r="P33" s="18"/>
      <c r="Q33" s="18"/>
      <c r="R33" s="18"/>
      <c r="S33" s="18"/>
      <c r="T33" s="18"/>
      <c r="U33" s="18"/>
      <c r="V33" s="18"/>
      <c r="W33" s="18"/>
      <c r="X33" s="18"/>
      <c r="Y33" s="18"/>
      <c r="Z33" s="18"/>
    </row>
    <row r="34" spans="1:26" ht="28.5" customHeight="1" x14ac:dyDescent="0.2">
      <c r="A34" s="95"/>
      <c r="B34" s="95"/>
      <c r="C34" s="22" t="s">
        <v>111</v>
      </c>
      <c r="D34" s="142"/>
      <c r="E34" s="91"/>
      <c r="F34" s="91"/>
      <c r="G34" s="91"/>
      <c r="H34" s="92"/>
      <c r="I34" s="18"/>
      <c r="J34" s="18"/>
      <c r="K34" s="18"/>
      <c r="L34" s="18"/>
      <c r="M34" s="18"/>
      <c r="N34" s="18"/>
      <c r="O34" s="18"/>
      <c r="P34" s="18"/>
      <c r="Q34" s="18"/>
      <c r="R34" s="18"/>
      <c r="S34" s="18"/>
      <c r="T34" s="18"/>
      <c r="U34" s="18"/>
      <c r="V34" s="18"/>
      <c r="W34" s="18"/>
      <c r="X34" s="18"/>
      <c r="Y34" s="18"/>
      <c r="Z34" s="18"/>
    </row>
    <row r="35" spans="1:26" ht="28.5" customHeight="1" x14ac:dyDescent="0.2">
      <c r="A35" s="95"/>
      <c r="B35" s="95"/>
      <c r="C35" s="22" t="s">
        <v>113</v>
      </c>
      <c r="D35" s="142"/>
      <c r="E35" s="91"/>
      <c r="F35" s="91"/>
      <c r="G35" s="91"/>
      <c r="H35" s="92"/>
      <c r="I35" s="18"/>
      <c r="J35" s="18"/>
      <c r="K35" s="18"/>
      <c r="L35" s="18"/>
      <c r="M35" s="18"/>
      <c r="N35" s="18"/>
      <c r="O35" s="18"/>
      <c r="P35" s="18"/>
      <c r="Q35" s="18"/>
      <c r="R35" s="18"/>
      <c r="S35" s="18"/>
      <c r="T35" s="18"/>
      <c r="U35" s="18"/>
      <c r="V35" s="18"/>
      <c r="W35" s="18"/>
      <c r="X35" s="18"/>
      <c r="Y35" s="18"/>
      <c r="Z35" s="18"/>
    </row>
    <row r="36" spans="1:26" ht="28.5" customHeight="1" x14ac:dyDescent="0.2">
      <c r="A36" s="95"/>
      <c r="B36" s="95"/>
      <c r="C36" s="22" t="s">
        <v>116</v>
      </c>
      <c r="D36" s="142"/>
      <c r="E36" s="91"/>
      <c r="F36" s="91"/>
      <c r="G36" s="91"/>
      <c r="H36" s="92"/>
      <c r="I36" s="18"/>
      <c r="J36" s="18"/>
      <c r="K36" s="18"/>
      <c r="L36" s="18"/>
      <c r="M36" s="18"/>
      <c r="N36" s="18"/>
      <c r="O36" s="18"/>
      <c r="P36" s="18"/>
      <c r="Q36" s="18"/>
      <c r="R36" s="18"/>
      <c r="S36" s="18"/>
      <c r="T36" s="18"/>
      <c r="U36" s="18"/>
      <c r="V36" s="18"/>
      <c r="W36" s="18"/>
      <c r="X36" s="18"/>
      <c r="Y36" s="18"/>
      <c r="Z36" s="18"/>
    </row>
    <row r="37" spans="1:26" ht="28.5" customHeight="1" x14ac:dyDescent="0.2">
      <c r="A37" s="96"/>
      <c r="B37" s="97"/>
      <c r="C37" s="22" t="s">
        <v>119</v>
      </c>
      <c r="D37" s="142"/>
      <c r="E37" s="91"/>
      <c r="F37" s="91"/>
      <c r="G37" s="91"/>
      <c r="H37" s="92"/>
      <c r="I37" s="18"/>
      <c r="J37" s="18"/>
      <c r="K37" s="18"/>
      <c r="L37" s="18"/>
      <c r="M37" s="18"/>
      <c r="N37" s="18"/>
      <c r="O37" s="18"/>
      <c r="P37" s="18"/>
      <c r="Q37" s="18"/>
      <c r="R37" s="18"/>
      <c r="S37" s="18"/>
      <c r="T37" s="18"/>
      <c r="U37" s="18"/>
      <c r="V37" s="18"/>
      <c r="W37" s="18"/>
      <c r="X37" s="18"/>
      <c r="Y37" s="18"/>
      <c r="Z37" s="18"/>
    </row>
    <row r="38" spans="1:26" ht="53.25" customHeight="1" x14ac:dyDescent="0.2">
      <c r="A38" s="26" t="s">
        <v>122</v>
      </c>
      <c r="B38" s="143">
        <v>0</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268</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341</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354</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38.25" customHeight="1" x14ac:dyDescent="0.2">
      <c r="A42" s="26" t="s">
        <v>140</v>
      </c>
      <c r="B42" s="152"/>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27.75" customHeight="1" x14ac:dyDescent="0.2">
      <c r="A43" s="30" t="s">
        <v>144</v>
      </c>
      <c r="B43" s="153"/>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15.75" customHeight="1" x14ac:dyDescent="0.2">
      <c r="A44" s="30" t="s">
        <v>147</v>
      </c>
      <c r="B44" s="153"/>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15.75" customHeight="1" x14ac:dyDescent="0.2">
      <c r="A45" s="30" t="s">
        <v>150</v>
      </c>
      <c r="B45" s="153"/>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60" customHeight="1"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64.5" customHeight="1" x14ac:dyDescent="0.2">
      <c r="A47" s="95"/>
      <c r="B47" s="32" t="s">
        <v>154</v>
      </c>
      <c r="C47" s="145"/>
      <c r="D47" s="91"/>
      <c r="E47" s="91"/>
      <c r="F47" s="91"/>
      <c r="G47" s="91"/>
      <c r="H47" s="92"/>
      <c r="I47" s="18"/>
      <c r="J47" s="18"/>
      <c r="K47" s="18"/>
      <c r="L47" s="18"/>
      <c r="M47" s="18"/>
      <c r="N47" s="18"/>
      <c r="O47" s="18"/>
      <c r="P47" s="18"/>
      <c r="Q47" s="18"/>
      <c r="R47" s="18"/>
      <c r="S47" s="18"/>
      <c r="T47" s="18"/>
      <c r="U47" s="18"/>
      <c r="V47" s="18"/>
      <c r="W47" s="18"/>
      <c r="X47" s="18"/>
      <c r="Y47" s="18"/>
      <c r="Z47" s="18"/>
    </row>
    <row r="48" spans="1:26" ht="39.75" customHeight="1"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182</v>
      </c>
      <c r="B49" s="155"/>
      <c r="C49" s="146" t="s">
        <v>159</v>
      </c>
      <c r="D49" s="92"/>
      <c r="E49" s="147" t="s">
        <v>161</v>
      </c>
      <c r="F49" s="148"/>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c r="D50" s="92"/>
      <c r="E50" s="97"/>
      <c r="F50" s="114"/>
      <c r="G50" s="134"/>
      <c r="H50" s="76"/>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c r="D53" s="91"/>
      <c r="E53" s="91"/>
      <c r="F53" s="92"/>
      <c r="G53" s="77"/>
      <c r="H53" s="76"/>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49"/>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A51:H51"/>
    <mergeCell ref="C52:F52"/>
    <mergeCell ref="C53:F53"/>
    <mergeCell ref="C41:H41"/>
    <mergeCell ref="B42:H42"/>
    <mergeCell ref="B43:H43"/>
    <mergeCell ref="B44:H44"/>
    <mergeCell ref="B45:H45"/>
    <mergeCell ref="C46:H46"/>
    <mergeCell ref="C47:H47"/>
    <mergeCell ref="A46:A48"/>
    <mergeCell ref="A49:A50"/>
    <mergeCell ref="B49:B50"/>
    <mergeCell ref="A39:A41"/>
    <mergeCell ref="C39:H39"/>
    <mergeCell ref="C40:H40"/>
    <mergeCell ref="C48:H48"/>
    <mergeCell ref="C49:D49"/>
    <mergeCell ref="E49:E50"/>
    <mergeCell ref="F49:G50"/>
    <mergeCell ref="C50:D50"/>
    <mergeCell ref="D34:H34"/>
    <mergeCell ref="D35:H35"/>
    <mergeCell ref="D36:H36"/>
    <mergeCell ref="D37:H37"/>
    <mergeCell ref="B38:H38"/>
    <mergeCell ref="D29:H29"/>
    <mergeCell ref="D30:H30"/>
    <mergeCell ref="D31:H31"/>
    <mergeCell ref="D32:H32"/>
    <mergeCell ref="D33:H33"/>
    <mergeCell ref="D24:H24"/>
    <mergeCell ref="D25:H25"/>
    <mergeCell ref="D26:H26"/>
    <mergeCell ref="D27:H27"/>
    <mergeCell ref="D28:H28"/>
    <mergeCell ref="D19:H19"/>
    <mergeCell ref="D20:H20"/>
    <mergeCell ref="D21:H21"/>
    <mergeCell ref="D22:H22"/>
    <mergeCell ref="D23:H23"/>
    <mergeCell ref="D14:H14"/>
    <mergeCell ref="D15:H15"/>
    <mergeCell ref="D16:H16"/>
    <mergeCell ref="D17:H17"/>
    <mergeCell ref="D18:H18"/>
    <mergeCell ref="B9:H9"/>
    <mergeCell ref="B10:H10"/>
    <mergeCell ref="B11:H11"/>
    <mergeCell ref="B12:H12"/>
    <mergeCell ref="D13:H13"/>
    <mergeCell ref="B4:F4"/>
    <mergeCell ref="B5:F5"/>
    <mergeCell ref="B6:H6"/>
    <mergeCell ref="B7:H7"/>
    <mergeCell ref="B8:H8"/>
    <mergeCell ref="A1:B2"/>
    <mergeCell ref="C1:G1"/>
    <mergeCell ref="H1:H2"/>
    <mergeCell ref="C2:G2"/>
    <mergeCell ref="B3:H3"/>
    <mergeCell ref="A13:A37"/>
    <mergeCell ref="B13:B17"/>
    <mergeCell ref="B18:B22"/>
    <mergeCell ref="B23:B27"/>
    <mergeCell ref="B28:B32"/>
    <mergeCell ref="B33:B37"/>
  </mergeCells>
  <pageMargins left="0.7" right="0.7" top="0.75" bottom="0.75" header="0" footer="0"/>
  <pageSetup orientation="landscape"/>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workbookViewId="0"/>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1" customWidth="1"/>
    <col min="6" max="6" width="18.7109375" customWidth="1"/>
    <col min="7" max="8" width="10.7109375" customWidth="1"/>
    <col min="9" max="26" width="10.5703125" customWidth="1"/>
  </cols>
  <sheetData>
    <row r="1" spans="1:26" ht="12.75" customHeight="1" x14ac:dyDescent="0.2">
      <c r="A1" s="132"/>
      <c r="B1" s="111"/>
      <c r="C1" s="133"/>
      <c r="D1" s="135" t="s">
        <v>0</v>
      </c>
      <c r="E1" s="111"/>
      <c r="F1" s="111"/>
      <c r="G1" s="111"/>
      <c r="H1" s="132"/>
      <c r="I1" s="133"/>
      <c r="J1" s="67"/>
      <c r="K1" s="67"/>
      <c r="L1" s="67"/>
      <c r="M1" s="67"/>
      <c r="N1" s="67"/>
      <c r="O1" s="67"/>
      <c r="P1" s="67"/>
      <c r="Q1" s="67"/>
      <c r="R1" s="67"/>
      <c r="S1" s="67"/>
      <c r="T1" s="67"/>
      <c r="U1" s="67"/>
      <c r="V1" s="67"/>
      <c r="W1" s="67"/>
      <c r="X1" s="67"/>
      <c r="Y1" s="67"/>
      <c r="Z1" s="67"/>
    </row>
    <row r="2" spans="1:26" ht="12.75" customHeight="1" x14ac:dyDescent="0.2">
      <c r="A2" s="112"/>
      <c r="B2" s="113"/>
      <c r="C2" s="157"/>
      <c r="D2" s="137" t="s">
        <v>2</v>
      </c>
      <c r="E2" s="91"/>
      <c r="F2" s="91"/>
      <c r="G2" s="91"/>
      <c r="H2" s="112"/>
      <c r="I2" s="157"/>
      <c r="J2" s="67"/>
      <c r="K2" s="67"/>
      <c r="L2" s="67"/>
      <c r="M2" s="67"/>
      <c r="N2" s="67"/>
      <c r="O2" s="67"/>
      <c r="P2" s="67"/>
      <c r="Q2" s="67"/>
      <c r="R2" s="67"/>
      <c r="S2" s="67"/>
      <c r="T2" s="67"/>
      <c r="U2" s="67"/>
      <c r="V2" s="67"/>
      <c r="W2" s="67"/>
      <c r="X2" s="67"/>
      <c r="Y2" s="67"/>
      <c r="Z2" s="67"/>
    </row>
    <row r="3" spans="1:26" ht="29.25" customHeight="1" x14ac:dyDescent="0.2">
      <c r="A3" s="114"/>
      <c r="B3" s="115"/>
      <c r="C3" s="134"/>
      <c r="D3" s="137" t="s">
        <v>3</v>
      </c>
      <c r="E3" s="91"/>
      <c r="F3" s="91"/>
      <c r="G3" s="92"/>
      <c r="H3" s="114"/>
      <c r="I3" s="134"/>
      <c r="J3" s="67"/>
      <c r="K3" s="67"/>
      <c r="L3" s="67"/>
      <c r="M3" s="67"/>
      <c r="N3" s="67"/>
      <c r="O3" s="67"/>
      <c r="P3" s="67"/>
      <c r="Q3" s="67"/>
      <c r="R3" s="67"/>
      <c r="S3" s="67"/>
      <c r="T3" s="67"/>
      <c r="U3" s="67"/>
      <c r="V3" s="67"/>
      <c r="W3" s="67"/>
      <c r="X3" s="67"/>
      <c r="Y3" s="67"/>
      <c r="Z3" s="67"/>
    </row>
    <row r="4" spans="1:26" ht="12.75" customHeight="1" x14ac:dyDescent="0.2">
      <c r="A4" s="2"/>
      <c r="B4" s="138" t="str">
        <f>+'MODULO 7'!B3:H3</f>
        <v>Código: CEC-RCYC-02;Revisión: 02</v>
      </c>
      <c r="C4" s="111"/>
      <c r="D4" s="111"/>
      <c r="E4" s="111"/>
      <c r="F4" s="111"/>
      <c r="G4" s="111"/>
      <c r="H4" s="111"/>
      <c r="I4" s="111"/>
      <c r="J4" s="67"/>
      <c r="K4" s="67"/>
      <c r="L4" s="67"/>
      <c r="M4" s="67"/>
      <c r="N4" s="67"/>
      <c r="O4" s="67"/>
      <c r="P4" s="67"/>
      <c r="Q4" s="67"/>
      <c r="R4" s="67"/>
      <c r="S4" s="67"/>
      <c r="T4" s="67"/>
      <c r="U4" s="67"/>
      <c r="V4" s="67"/>
      <c r="W4" s="67"/>
      <c r="X4" s="67"/>
      <c r="Y4" s="67"/>
      <c r="Z4" s="67"/>
    </row>
    <row r="5" spans="1:26" ht="12.75" customHeight="1" x14ac:dyDescent="0.2">
      <c r="A5" s="6" t="s">
        <v>7</v>
      </c>
      <c r="B5" s="162" t="str">
        <f>+'RESUMEN DIPLOMADO'!D3</f>
        <v>DIPLOMADO EN BIG DATA E INTELIGENCIA ARTIFICIAL</v>
      </c>
      <c r="C5" s="91"/>
      <c r="D5" s="91"/>
      <c r="E5" s="91"/>
      <c r="F5" s="92"/>
      <c r="G5" s="58" t="s">
        <v>9</v>
      </c>
      <c r="H5" s="158" t="str">
        <f>+'RESUMEN DIPLOMADO'!M3</f>
        <v>150 horas
120 horas sincrónicas y
30 horas asincrónicas</v>
      </c>
      <c r="I5" s="92"/>
      <c r="J5" s="67"/>
      <c r="K5" s="67"/>
      <c r="L5" s="67"/>
      <c r="M5" s="67"/>
      <c r="N5" s="67"/>
      <c r="O5" s="67"/>
      <c r="P5" s="67"/>
      <c r="Q5" s="67"/>
      <c r="R5" s="67"/>
      <c r="S5" s="67"/>
      <c r="T5" s="67"/>
      <c r="U5" s="67"/>
      <c r="V5" s="67"/>
      <c r="W5" s="67"/>
      <c r="X5" s="67"/>
      <c r="Y5" s="67"/>
      <c r="Z5" s="67"/>
    </row>
    <row r="6" spans="1:26" ht="12.75" customHeight="1" x14ac:dyDescent="0.2">
      <c r="A6" s="6" t="s">
        <v>12</v>
      </c>
      <c r="B6" s="163">
        <f>+'MODULO 7'!B5:F5</f>
        <v>0</v>
      </c>
      <c r="C6" s="115"/>
      <c r="D6" s="115"/>
      <c r="E6" s="115"/>
      <c r="F6" s="134"/>
      <c r="G6" s="58" t="s">
        <v>9</v>
      </c>
      <c r="H6" s="176">
        <f>+'MODULO 7'!H5</f>
        <v>0</v>
      </c>
      <c r="I6" s="92"/>
      <c r="J6" s="67"/>
      <c r="K6" s="67"/>
      <c r="L6" s="67"/>
      <c r="M6" s="67"/>
      <c r="N6" s="67"/>
      <c r="O6" s="67"/>
      <c r="P6" s="67"/>
      <c r="Q6" s="67"/>
      <c r="R6" s="67"/>
      <c r="S6" s="67"/>
      <c r="T6" s="67"/>
      <c r="U6" s="67"/>
      <c r="V6" s="67"/>
      <c r="W6" s="67"/>
      <c r="X6" s="67"/>
      <c r="Y6" s="67"/>
      <c r="Z6" s="67"/>
    </row>
    <row r="7" spans="1:26" ht="30" customHeight="1" x14ac:dyDescent="0.2">
      <c r="A7" s="15" t="s">
        <v>18</v>
      </c>
      <c r="B7" s="165" t="s">
        <v>347</v>
      </c>
      <c r="C7" s="91"/>
      <c r="D7" s="91"/>
      <c r="E7" s="91"/>
      <c r="F7" s="91"/>
      <c r="G7" s="91"/>
      <c r="H7" s="91"/>
      <c r="I7" s="92"/>
      <c r="J7" s="67"/>
      <c r="K7" s="67"/>
      <c r="L7" s="67"/>
      <c r="M7" s="67"/>
      <c r="N7" s="67"/>
      <c r="O7" s="67"/>
      <c r="P7" s="67"/>
      <c r="Q7" s="67"/>
      <c r="R7" s="67"/>
      <c r="S7" s="67"/>
      <c r="T7" s="67"/>
      <c r="U7" s="67"/>
      <c r="V7" s="67"/>
      <c r="W7" s="67"/>
      <c r="X7" s="67"/>
      <c r="Y7" s="67"/>
      <c r="Z7" s="67"/>
    </row>
    <row r="8" spans="1:26" ht="30.75" customHeight="1" x14ac:dyDescent="0.2">
      <c r="A8" s="15" t="s">
        <v>23</v>
      </c>
      <c r="B8" s="165">
        <f>+'MODULO 7'!B11:H11</f>
        <v>0</v>
      </c>
      <c r="C8" s="91"/>
      <c r="D8" s="91"/>
      <c r="E8" s="91"/>
      <c r="F8" s="91"/>
      <c r="G8" s="91"/>
      <c r="H8" s="91"/>
      <c r="I8" s="92"/>
      <c r="J8" s="67"/>
      <c r="K8" s="67"/>
      <c r="L8" s="67"/>
      <c r="M8" s="67"/>
      <c r="N8" s="67"/>
      <c r="O8" s="67"/>
      <c r="P8" s="67"/>
      <c r="Q8" s="67"/>
      <c r="R8" s="67"/>
      <c r="S8" s="67"/>
      <c r="T8" s="67"/>
      <c r="U8" s="67"/>
      <c r="V8" s="67"/>
      <c r="W8" s="67"/>
      <c r="X8" s="67"/>
      <c r="Y8" s="67"/>
      <c r="Z8" s="67"/>
    </row>
    <row r="9" spans="1:26" ht="52.5" customHeight="1" x14ac:dyDescent="0.2">
      <c r="A9" s="15" t="s">
        <v>30</v>
      </c>
      <c r="B9" s="165" t="str">
        <f>+'MODULO 7'!B12:H12</f>
        <v>U1. 
U2.
U4.
U5.</v>
      </c>
      <c r="C9" s="91"/>
      <c r="D9" s="91"/>
      <c r="E9" s="91"/>
      <c r="F9" s="91"/>
      <c r="G9" s="91"/>
      <c r="H9" s="91"/>
      <c r="I9" s="92"/>
      <c r="J9" s="67"/>
      <c r="K9" s="67"/>
      <c r="L9" s="67"/>
      <c r="M9" s="67"/>
      <c r="N9" s="67"/>
      <c r="O9" s="67"/>
      <c r="P9" s="67"/>
      <c r="Q9" s="67"/>
      <c r="R9" s="67"/>
      <c r="S9" s="67"/>
      <c r="T9" s="67"/>
      <c r="U9" s="67"/>
      <c r="V9" s="67"/>
      <c r="W9" s="67"/>
      <c r="X9" s="67"/>
      <c r="Y9" s="67"/>
      <c r="Z9" s="67"/>
    </row>
    <row r="10" spans="1:26" ht="12.75" customHeight="1" x14ac:dyDescent="0.2">
      <c r="A10" s="166" t="str">
        <f>+'MODULO 7'!B13</f>
        <v>"Unidad 1:  Nombre de la unidad   
XX Horas"</v>
      </c>
      <c r="B10" s="20" t="s">
        <v>36</v>
      </c>
      <c r="C10" s="20" t="s">
        <v>37</v>
      </c>
      <c r="D10" s="159" t="s">
        <v>41</v>
      </c>
      <c r="E10" s="91"/>
      <c r="F10" s="92"/>
      <c r="G10" s="159" t="s">
        <v>43</v>
      </c>
      <c r="H10" s="178"/>
      <c r="I10" s="20" t="s">
        <v>44</v>
      </c>
      <c r="J10" s="67"/>
      <c r="K10" s="67"/>
      <c r="L10" s="67"/>
      <c r="M10" s="67"/>
      <c r="N10" s="67"/>
      <c r="O10" s="67"/>
      <c r="P10" s="67"/>
      <c r="Q10" s="67"/>
      <c r="R10" s="67"/>
      <c r="S10" s="67"/>
      <c r="T10" s="67"/>
      <c r="U10" s="67"/>
      <c r="V10" s="67"/>
      <c r="W10" s="67"/>
      <c r="X10" s="67"/>
      <c r="Y10" s="67"/>
      <c r="Z10" s="67"/>
    </row>
    <row r="11" spans="1:26" ht="15" customHeight="1" x14ac:dyDescent="0.2">
      <c r="A11" s="95"/>
      <c r="B11" s="20">
        <v>1</v>
      </c>
      <c r="C11" s="21"/>
      <c r="D11" s="23" t="s">
        <v>47</v>
      </c>
      <c r="E11" s="160">
        <f>+'MODULO 7'!D13</f>
        <v>0</v>
      </c>
      <c r="F11" s="92"/>
      <c r="G11" s="161"/>
      <c r="H11" s="92"/>
      <c r="I11" s="66"/>
      <c r="J11" s="67"/>
      <c r="K11" s="67"/>
      <c r="L11" s="67"/>
      <c r="M11" s="67"/>
      <c r="N11" s="67"/>
      <c r="O11" s="67"/>
      <c r="P11" s="67"/>
      <c r="Q11" s="67"/>
      <c r="R11" s="67"/>
      <c r="S11" s="67"/>
      <c r="T11" s="67"/>
      <c r="U11" s="67"/>
      <c r="V11" s="67"/>
      <c r="W11" s="67"/>
      <c r="X11" s="67"/>
      <c r="Y11" s="67"/>
      <c r="Z11" s="67"/>
    </row>
    <row r="12" spans="1:26" ht="15" customHeight="1" x14ac:dyDescent="0.2">
      <c r="A12" s="95"/>
      <c r="B12" s="20">
        <v>2</v>
      </c>
      <c r="C12" s="20"/>
      <c r="D12" s="23" t="s">
        <v>49</v>
      </c>
      <c r="E12" s="160">
        <f>+'MODULO 7'!D14</f>
        <v>0</v>
      </c>
      <c r="F12" s="92"/>
      <c r="G12" s="161"/>
      <c r="H12" s="92"/>
      <c r="I12" s="66"/>
      <c r="J12" s="67"/>
      <c r="K12" s="67"/>
      <c r="L12" s="67"/>
      <c r="M12" s="67"/>
      <c r="N12" s="67"/>
      <c r="O12" s="67"/>
      <c r="P12" s="67"/>
      <c r="Q12" s="67"/>
      <c r="R12" s="67"/>
      <c r="S12" s="67"/>
      <c r="T12" s="67"/>
      <c r="U12" s="67"/>
      <c r="V12" s="67"/>
      <c r="W12" s="67"/>
      <c r="X12" s="67"/>
      <c r="Y12" s="67"/>
      <c r="Z12" s="67"/>
    </row>
    <row r="13" spans="1:26" ht="15" customHeight="1" x14ac:dyDescent="0.2">
      <c r="A13" s="95"/>
      <c r="B13" s="20">
        <v>3</v>
      </c>
      <c r="C13" s="20"/>
      <c r="D13" s="23" t="s">
        <v>52</v>
      </c>
      <c r="E13" s="160">
        <f>+'MODULO 7'!D15</f>
        <v>0</v>
      </c>
      <c r="F13" s="92"/>
      <c r="G13" s="161"/>
      <c r="H13" s="92"/>
      <c r="I13" s="66"/>
      <c r="J13" s="67"/>
      <c r="K13" s="67"/>
      <c r="L13" s="67"/>
      <c r="M13" s="67"/>
      <c r="N13" s="67"/>
      <c r="O13" s="67"/>
      <c r="P13" s="67"/>
      <c r="Q13" s="67"/>
      <c r="R13" s="67"/>
      <c r="S13" s="67"/>
      <c r="T13" s="67"/>
      <c r="U13" s="67"/>
      <c r="V13" s="67"/>
      <c r="W13" s="67"/>
      <c r="X13" s="67"/>
      <c r="Y13" s="67"/>
      <c r="Z13" s="67"/>
    </row>
    <row r="14" spans="1:26" ht="15" customHeight="1" x14ac:dyDescent="0.2">
      <c r="A14" s="95"/>
      <c r="B14" s="20"/>
      <c r="C14" s="20"/>
      <c r="D14" s="23" t="s">
        <v>55</v>
      </c>
      <c r="E14" s="160">
        <f>+'MODULO 7'!D16</f>
        <v>0</v>
      </c>
      <c r="F14" s="92"/>
      <c r="G14" s="161"/>
      <c r="H14" s="92"/>
      <c r="I14" s="66"/>
      <c r="J14" s="67"/>
      <c r="K14" s="67"/>
      <c r="L14" s="67"/>
      <c r="M14" s="67"/>
      <c r="N14" s="67"/>
      <c r="O14" s="67"/>
      <c r="P14" s="67"/>
      <c r="Q14" s="67"/>
      <c r="R14" s="67"/>
      <c r="S14" s="67"/>
      <c r="T14" s="67"/>
      <c r="U14" s="67"/>
      <c r="V14" s="67"/>
      <c r="W14" s="67"/>
      <c r="X14" s="67"/>
      <c r="Y14" s="67"/>
      <c r="Z14" s="67"/>
    </row>
    <row r="15" spans="1:26" ht="15" customHeight="1" x14ac:dyDescent="0.2">
      <c r="A15" s="96"/>
      <c r="B15" s="20"/>
      <c r="C15" s="20"/>
      <c r="D15" s="23" t="s">
        <v>57</v>
      </c>
      <c r="E15" s="160">
        <f>+'MODULO 7'!D17</f>
        <v>0</v>
      </c>
      <c r="F15" s="92"/>
      <c r="G15" s="161"/>
      <c r="H15" s="92"/>
      <c r="I15" s="66"/>
      <c r="J15" s="67"/>
      <c r="K15" s="67"/>
      <c r="L15" s="67"/>
      <c r="M15" s="67"/>
      <c r="N15" s="67"/>
      <c r="O15" s="67"/>
      <c r="P15" s="67"/>
      <c r="Q15" s="67"/>
      <c r="R15" s="67"/>
      <c r="S15" s="67"/>
      <c r="T15" s="67"/>
      <c r="U15" s="67"/>
      <c r="V15" s="67"/>
      <c r="W15" s="67"/>
      <c r="X15" s="67"/>
      <c r="Y15" s="67"/>
      <c r="Z15" s="67"/>
    </row>
    <row r="16" spans="1:26" ht="15" customHeight="1" x14ac:dyDescent="0.2">
      <c r="A16" s="166" t="str">
        <f>+'MODULO 7'!B18</f>
        <v>"Unidad 2:  Nombre de la unidad   
XX Horas"</v>
      </c>
      <c r="B16" s="20"/>
      <c r="C16" s="20"/>
      <c r="D16" s="23" t="s">
        <v>61</v>
      </c>
      <c r="E16" s="160">
        <f>+'MODULO 7'!D18</f>
        <v>0</v>
      </c>
      <c r="F16" s="92"/>
      <c r="G16" s="161"/>
      <c r="H16" s="92"/>
      <c r="I16" s="66"/>
      <c r="J16" s="67"/>
      <c r="K16" s="67"/>
      <c r="L16" s="67"/>
      <c r="M16" s="67"/>
      <c r="N16" s="67"/>
      <c r="O16" s="67"/>
      <c r="P16" s="67"/>
      <c r="Q16" s="67"/>
      <c r="R16" s="67"/>
      <c r="S16" s="67"/>
      <c r="T16" s="67"/>
      <c r="U16" s="67"/>
      <c r="V16" s="67"/>
      <c r="W16" s="67"/>
      <c r="X16" s="67"/>
      <c r="Y16" s="67"/>
      <c r="Z16" s="67"/>
    </row>
    <row r="17" spans="1:26" ht="15" customHeight="1" x14ac:dyDescent="0.2">
      <c r="A17" s="95"/>
      <c r="B17" s="20"/>
      <c r="C17" s="20"/>
      <c r="D17" s="23" t="s">
        <v>64</v>
      </c>
      <c r="E17" s="160">
        <f>+'MODULO 7'!D19</f>
        <v>0</v>
      </c>
      <c r="F17" s="92"/>
      <c r="G17" s="161"/>
      <c r="H17" s="92"/>
      <c r="I17" s="66"/>
      <c r="J17" s="67"/>
      <c r="K17" s="67"/>
      <c r="L17" s="67"/>
      <c r="M17" s="67"/>
      <c r="N17" s="67"/>
      <c r="O17" s="67"/>
      <c r="P17" s="67"/>
      <c r="Q17" s="67"/>
      <c r="R17" s="67"/>
      <c r="S17" s="67"/>
      <c r="T17" s="67"/>
      <c r="U17" s="67"/>
      <c r="V17" s="67"/>
      <c r="W17" s="67"/>
      <c r="X17" s="67"/>
      <c r="Y17" s="67"/>
      <c r="Z17" s="67"/>
    </row>
    <row r="18" spans="1:26" ht="15" customHeight="1" x14ac:dyDescent="0.2">
      <c r="A18" s="95"/>
      <c r="B18" s="20"/>
      <c r="C18" s="20"/>
      <c r="D18" s="23" t="s">
        <v>66</v>
      </c>
      <c r="E18" s="160">
        <f>+'MODULO 7'!D20</f>
        <v>0</v>
      </c>
      <c r="F18" s="92"/>
      <c r="G18" s="161"/>
      <c r="H18" s="92"/>
      <c r="I18" s="66"/>
      <c r="J18" s="67"/>
      <c r="K18" s="67"/>
      <c r="L18" s="67"/>
      <c r="M18" s="67"/>
      <c r="N18" s="67"/>
      <c r="O18" s="67"/>
      <c r="P18" s="67"/>
      <c r="Q18" s="67"/>
      <c r="R18" s="67"/>
      <c r="S18" s="67"/>
      <c r="T18" s="67"/>
      <c r="U18" s="67"/>
      <c r="V18" s="67"/>
      <c r="W18" s="67"/>
      <c r="X18" s="67"/>
      <c r="Y18" s="67"/>
      <c r="Z18" s="67"/>
    </row>
    <row r="19" spans="1:26" ht="15" customHeight="1" x14ac:dyDescent="0.2">
      <c r="A19" s="95"/>
      <c r="B19" s="20"/>
      <c r="C19" s="20"/>
      <c r="D19" s="23" t="s">
        <v>69</v>
      </c>
      <c r="E19" s="160">
        <f>+'MODULO 7'!D21</f>
        <v>0</v>
      </c>
      <c r="F19" s="92"/>
      <c r="G19" s="161"/>
      <c r="H19" s="92"/>
      <c r="I19" s="66"/>
      <c r="J19" s="67"/>
      <c r="K19" s="67"/>
      <c r="L19" s="67"/>
      <c r="M19" s="67"/>
      <c r="N19" s="67"/>
      <c r="O19" s="67"/>
      <c r="P19" s="67"/>
      <c r="Q19" s="67"/>
      <c r="R19" s="67"/>
      <c r="S19" s="67"/>
      <c r="T19" s="67"/>
      <c r="U19" s="67"/>
      <c r="V19" s="67"/>
      <c r="W19" s="67"/>
      <c r="X19" s="67"/>
      <c r="Y19" s="67"/>
      <c r="Z19" s="67"/>
    </row>
    <row r="20" spans="1:26" ht="15" customHeight="1" x14ac:dyDescent="0.2">
      <c r="A20" s="96"/>
      <c r="B20" s="20"/>
      <c r="C20" s="20"/>
      <c r="D20" s="23" t="s">
        <v>72</v>
      </c>
      <c r="E20" s="160">
        <f>+'MODULO 7'!D22</f>
        <v>0</v>
      </c>
      <c r="F20" s="92"/>
      <c r="G20" s="161"/>
      <c r="H20" s="92"/>
      <c r="I20" s="66"/>
      <c r="J20" s="67"/>
      <c r="K20" s="67"/>
      <c r="L20" s="67"/>
      <c r="M20" s="67"/>
      <c r="N20" s="67"/>
      <c r="O20" s="67"/>
      <c r="P20" s="67"/>
      <c r="Q20" s="67"/>
      <c r="R20" s="67"/>
      <c r="S20" s="67"/>
      <c r="T20" s="67"/>
      <c r="U20" s="67"/>
      <c r="V20" s="67"/>
      <c r="W20" s="67"/>
      <c r="X20" s="67"/>
      <c r="Y20" s="67"/>
      <c r="Z20" s="67"/>
    </row>
    <row r="21" spans="1:26" ht="15" customHeight="1" x14ac:dyDescent="0.2">
      <c r="A21" s="166" t="str">
        <f>+'MODULO 7'!B23</f>
        <v>"Unidad 3:  Nombre de la unidad   
XX Horas"</v>
      </c>
      <c r="B21" s="20"/>
      <c r="C21" s="20"/>
      <c r="D21" s="23" t="s">
        <v>76</v>
      </c>
      <c r="E21" s="160">
        <f>+'MODULO 7'!D23</f>
        <v>0</v>
      </c>
      <c r="F21" s="92"/>
      <c r="G21" s="161"/>
      <c r="H21" s="92"/>
      <c r="I21" s="66"/>
      <c r="J21" s="67"/>
      <c r="K21" s="67"/>
      <c r="L21" s="67"/>
      <c r="M21" s="67"/>
      <c r="N21" s="67"/>
      <c r="O21" s="67"/>
      <c r="P21" s="67"/>
      <c r="Q21" s="67"/>
      <c r="R21" s="67"/>
      <c r="S21" s="67"/>
      <c r="T21" s="67"/>
      <c r="U21" s="67"/>
      <c r="V21" s="67"/>
      <c r="W21" s="67"/>
      <c r="X21" s="67"/>
      <c r="Y21" s="67"/>
      <c r="Z21" s="67"/>
    </row>
    <row r="22" spans="1:26" ht="15" customHeight="1" x14ac:dyDescent="0.2">
      <c r="A22" s="95"/>
      <c r="B22" s="20"/>
      <c r="C22" s="20"/>
      <c r="D22" s="23" t="s">
        <v>78</v>
      </c>
      <c r="E22" s="160">
        <f>+'MODULO 7'!D24</f>
        <v>0</v>
      </c>
      <c r="F22" s="92"/>
      <c r="G22" s="161"/>
      <c r="H22" s="92"/>
      <c r="I22" s="66"/>
      <c r="J22" s="67"/>
      <c r="K22" s="67"/>
      <c r="L22" s="67"/>
      <c r="M22" s="67"/>
      <c r="N22" s="67"/>
      <c r="O22" s="67"/>
      <c r="P22" s="67"/>
      <c r="Q22" s="67"/>
      <c r="R22" s="67"/>
      <c r="S22" s="67"/>
      <c r="T22" s="67"/>
      <c r="U22" s="67"/>
      <c r="V22" s="67"/>
      <c r="W22" s="67"/>
      <c r="X22" s="67"/>
      <c r="Y22" s="67"/>
      <c r="Z22" s="67"/>
    </row>
    <row r="23" spans="1:26" ht="15" customHeight="1" x14ac:dyDescent="0.2">
      <c r="A23" s="95"/>
      <c r="B23" s="20"/>
      <c r="C23" s="20"/>
      <c r="D23" s="23" t="s">
        <v>81</v>
      </c>
      <c r="E23" s="160">
        <f>+'MODULO 7'!D25</f>
        <v>0</v>
      </c>
      <c r="F23" s="92"/>
      <c r="G23" s="161"/>
      <c r="H23" s="92"/>
      <c r="I23" s="66"/>
      <c r="J23" s="67"/>
      <c r="K23" s="67"/>
      <c r="L23" s="67"/>
      <c r="M23" s="67"/>
      <c r="N23" s="67"/>
      <c r="O23" s="67"/>
      <c r="P23" s="67"/>
      <c r="Q23" s="67"/>
      <c r="R23" s="67"/>
      <c r="S23" s="67"/>
      <c r="T23" s="67"/>
      <c r="U23" s="67"/>
      <c r="V23" s="67"/>
      <c r="W23" s="67"/>
      <c r="X23" s="67"/>
      <c r="Y23" s="67"/>
      <c r="Z23" s="67"/>
    </row>
    <row r="24" spans="1:26" ht="15" customHeight="1" x14ac:dyDescent="0.2">
      <c r="A24" s="95"/>
      <c r="B24" s="20"/>
      <c r="C24" s="20"/>
      <c r="D24" s="23" t="s">
        <v>85</v>
      </c>
      <c r="E24" s="160">
        <f>+'MODULO 7'!D26</f>
        <v>0</v>
      </c>
      <c r="F24" s="92"/>
      <c r="G24" s="161"/>
      <c r="H24" s="92"/>
      <c r="I24" s="66"/>
      <c r="J24" s="67"/>
      <c r="K24" s="67"/>
      <c r="L24" s="67"/>
      <c r="M24" s="67"/>
      <c r="N24" s="67"/>
      <c r="O24" s="67"/>
      <c r="P24" s="67"/>
      <c r="Q24" s="67"/>
      <c r="R24" s="67"/>
      <c r="S24" s="67"/>
      <c r="T24" s="67"/>
      <c r="U24" s="67"/>
      <c r="V24" s="67"/>
      <c r="W24" s="67"/>
      <c r="X24" s="67"/>
      <c r="Y24" s="67"/>
      <c r="Z24" s="67"/>
    </row>
    <row r="25" spans="1:26" ht="15" customHeight="1" x14ac:dyDescent="0.2">
      <c r="A25" s="96"/>
      <c r="B25" s="20"/>
      <c r="C25" s="20"/>
      <c r="D25" s="23" t="s">
        <v>87</v>
      </c>
      <c r="E25" s="160">
        <f>+'MODULO 7'!D27</f>
        <v>0</v>
      </c>
      <c r="F25" s="92"/>
      <c r="G25" s="161"/>
      <c r="H25" s="92"/>
      <c r="I25" s="66"/>
      <c r="J25" s="67"/>
      <c r="K25" s="67"/>
      <c r="L25" s="67"/>
      <c r="M25" s="67"/>
      <c r="N25" s="67"/>
      <c r="O25" s="67"/>
      <c r="P25" s="67"/>
      <c r="Q25" s="67"/>
      <c r="R25" s="67"/>
      <c r="S25" s="67"/>
      <c r="T25" s="67"/>
      <c r="U25" s="67"/>
      <c r="V25" s="67"/>
      <c r="W25" s="67"/>
      <c r="X25" s="67"/>
      <c r="Y25" s="67"/>
      <c r="Z25" s="67"/>
    </row>
    <row r="26" spans="1:26" ht="15" customHeight="1" x14ac:dyDescent="0.2">
      <c r="A26" s="166" t="str">
        <f>+'MODULO 7'!B28</f>
        <v>"Unidad 4:  Nombre de la unidad   
XX Horas"</v>
      </c>
      <c r="B26" s="20"/>
      <c r="C26" s="20"/>
      <c r="D26" s="23" t="s">
        <v>92</v>
      </c>
      <c r="E26" s="160">
        <f>+'MODULO 7'!D28</f>
        <v>0</v>
      </c>
      <c r="F26" s="92"/>
      <c r="G26" s="161"/>
      <c r="H26" s="92"/>
      <c r="I26" s="66"/>
      <c r="J26" s="67"/>
      <c r="K26" s="67"/>
      <c r="L26" s="67"/>
      <c r="M26" s="67"/>
      <c r="N26" s="67"/>
      <c r="O26" s="67"/>
      <c r="P26" s="67"/>
      <c r="Q26" s="67"/>
      <c r="R26" s="67"/>
      <c r="S26" s="67"/>
      <c r="T26" s="67"/>
      <c r="U26" s="67"/>
      <c r="V26" s="67"/>
      <c r="W26" s="67"/>
      <c r="X26" s="67"/>
      <c r="Y26" s="67"/>
      <c r="Z26" s="67"/>
    </row>
    <row r="27" spans="1:26" ht="15" customHeight="1" x14ac:dyDescent="0.2">
      <c r="A27" s="95"/>
      <c r="B27" s="20"/>
      <c r="C27" s="20"/>
      <c r="D27" s="23" t="s">
        <v>95</v>
      </c>
      <c r="E27" s="160">
        <f>+'MODULO 7'!D29</f>
        <v>0</v>
      </c>
      <c r="F27" s="92"/>
      <c r="G27" s="161"/>
      <c r="H27" s="92"/>
      <c r="I27" s="66"/>
      <c r="J27" s="67"/>
      <c r="K27" s="67"/>
      <c r="L27" s="67"/>
      <c r="M27" s="67"/>
      <c r="N27" s="67"/>
      <c r="O27" s="67"/>
      <c r="P27" s="67"/>
      <c r="Q27" s="67"/>
      <c r="R27" s="67"/>
      <c r="S27" s="67"/>
      <c r="T27" s="67"/>
      <c r="U27" s="67"/>
      <c r="V27" s="67"/>
      <c r="W27" s="67"/>
      <c r="X27" s="67"/>
      <c r="Y27" s="67"/>
      <c r="Z27" s="67"/>
    </row>
    <row r="28" spans="1:26" ht="15" customHeight="1" x14ac:dyDescent="0.2">
      <c r="A28" s="95"/>
      <c r="B28" s="20"/>
      <c r="C28" s="20"/>
      <c r="D28" s="23" t="s">
        <v>98</v>
      </c>
      <c r="E28" s="160">
        <f>+'MODULO 7'!D30</f>
        <v>0</v>
      </c>
      <c r="F28" s="92"/>
      <c r="G28" s="161"/>
      <c r="H28" s="92"/>
      <c r="I28" s="66"/>
      <c r="J28" s="67"/>
      <c r="K28" s="67"/>
      <c r="L28" s="67"/>
      <c r="M28" s="67"/>
      <c r="N28" s="67"/>
      <c r="O28" s="67"/>
      <c r="P28" s="67"/>
      <c r="Q28" s="67"/>
      <c r="R28" s="67"/>
      <c r="S28" s="67"/>
      <c r="T28" s="67"/>
      <c r="U28" s="67"/>
      <c r="V28" s="67"/>
      <c r="W28" s="67"/>
      <c r="X28" s="67"/>
      <c r="Y28" s="67"/>
      <c r="Z28" s="67"/>
    </row>
    <row r="29" spans="1:26" ht="15" customHeight="1" x14ac:dyDescent="0.2">
      <c r="A29" s="95"/>
      <c r="B29" s="20"/>
      <c r="C29" s="20"/>
      <c r="D29" s="23" t="s">
        <v>101</v>
      </c>
      <c r="E29" s="160">
        <f>+'MODULO 7'!D31</f>
        <v>0</v>
      </c>
      <c r="F29" s="92"/>
      <c r="G29" s="161"/>
      <c r="H29" s="92"/>
      <c r="I29" s="66"/>
      <c r="J29" s="67"/>
      <c r="K29" s="67"/>
      <c r="L29" s="67"/>
      <c r="M29" s="67"/>
      <c r="N29" s="67"/>
      <c r="O29" s="67"/>
      <c r="P29" s="67"/>
      <c r="Q29" s="67"/>
      <c r="R29" s="67"/>
      <c r="S29" s="67"/>
      <c r="T29" s="67"/>
      <c r="U29" s="67"/>
      <c r="V29" s="67"/>
      <c r="W29" s="67"/>
      <c r="X29" s="67"/>
      <c r="Y29" s="67"/>
      <c r="Z29" s="67"/>
    </row>
    <row r="30" spans="1:26" ht="15" customHeight="1" x14ac:dyDescent="0.2">
      <c r="A30" s="96"/>
      <c r="B30" s="20"/>
      <c r="C30" s="20"/>
      <c r="D30" s="23" t="s">
        <v>104</v>
      </c>
      <c r="E30" s="160">
        <f>+'MODULO 7'!D32</f>
        <v>0</v>
      </c>
      <c r="F30" s="92"/>
      <c r="G30" s="161"/>
      <c r="H30" s="92"/>
      <c r="I30" s="66"/>
      <c r="J30" s="67"/>
      <c r="K30" s="67"/>
      <c r="L30" s="67"/>
      <c r="M30" s="67"/>
      <c r="N30" s="67"/>
      <c r="O30" s="67"/>
      <c r="P30" s="67"/>
      <c r="Q30" s="67"/>
      <c r="R30" s="67"/>
      <c r="S30" s="67"/>
      <c r="T30" s="67"/>
      <c r="U30" s="67"/>
      <c r="V30" s="67"/>
      <c r="W30" s="67"/>
      <c r="X30" s="67"/>
      <c r="Y30" s="67"/>
      <c r="Z30" s="67"/>
    </row>
    <row r="31" spans="1:26" ht="12.75" customHeight="1" x14ac:dyDescent="0.2">
      <c r="A31" s="166" t="str">
        <f>+'MODULO 7'!B33</f>
        <v>"Unidad 5:  Nombre de la unidad   
XX Horas"</v>
      </c>
      <c r="B31" s="20"/>
      <c r="C31" s="20"/>
      <c r="D31" s="23" t="s">
        <v>108</v>
      </c>
      <c r="E31" s="160">
        <f>+'MODULO 7'!D33</f>
        <v>0</v>
      </c>
      <c r="F31" s="92"/>
      <c r="G31" s="161"/>
      <c r="H31" s="92"/>
      <c r="I31" s="66"/>
      <c r="J31" s="67"/>
      <c r="K31" s="67"/>
      <c r="L31" s="67"/>
      <c r="M31" s="67"/>
      <c r="N31" s="67"/>
      <c r="O31" s="67"/>
      <c r="P31" s="67"/>
      <c r="Q31" s="67"/>
      <c r="R31" s="67"/>
      <c r="S31" s="67"/>
      <c r="T31" s="67"/>
      <c r="U31" s="67"/>
      <c r="V31" s="67"/>
      <c r="W31" s="67"/>
      <c r="X31" s="67"/>
      <c r="Y31" s="67"/>
      <c r="Z31" s="67"/>
    </row>
    <row r="32" spans="1:26" ht="12.75" customHeight="1" x14ac:dyDescent="0.2">
      <c r="A32" s="95"/>
      <c r="B32" s="20"/>
      <c r="C32" s="20"/>
      <c r="D32" s="23" t="s">
        <v>111</v>
      </c>
      <c r="E32" s="160">
        <f>+'MODULO 7'!D34</f>
        <v>0</v>
      </c>
      <c r="F32" s="92"/>
      <c r="G32" s="161"/>
      <c r="H32" s="92"/>
      <c r="I32" s="66"/>
      <c r="J32" s="67"/>
      <c r="K32" s="67"/>
      <c r="L32" s="67"/>
      <c r="M32" s="67"/>
      <c r="N32" s="67"/>
      <c r="O32" s="67"/>
      <c r="P32" s="67"/>
      <c r="Q32" s="67"/>
      <c r="R32" s="67"/>
      <c r="S32" s="67"/>
      <c r="T32" s="67"/>
      <c r="U32" s="67"/>
      <c r="V32" s="67"/>
      <c r="W32" s="67"/>
      <c r="X32" s="67"/>
      <c r="Y32" s="67"/>
      <c r="Z32" s="67"/>
    </row>
    <row r="33" spans="1:26" ht="12.75" customHeight="1" x14ac:dyDescent="0.2">
      <c r="A33" s="95"/>
      <c r="B33" s="20"/>
      <c r="C33" s="20"/>
      <c r="D33" s="23" t="s">
        <v>113</v>
      </c>
      <c r="E33" s="160">
        <f>+'MODULO 7'!D35</f>
        <v>0</v>
      </c>
      <c r="F33" s="92"/>
      <c r="G33" s="161"/>
      <c r="H33" s="92"/>
      <c r="I33" s="66"/>
      <c r="J33" s="67"/>
      <c r="K33" s="67"/>
      <c r="L33" s="67"/>
      <c r="M33" s="67"/>
      <c r="N33" s="67"/>
      <c r="O33" s="67"/>
      <c r="P33" s="67"/>
      <c r="Q33" s="67"/>
      <c r="R33" s="67"/>
      <c r="S33" s="67"/>
      <c r="T33" s="67"/>
      <c r="U33" s="67"/>
      <c r="V33" s="67"/>
      <c r="W33" s="67"/>
      <c r="X33" s="67"/>
      <c r="Y33" s="67"/>
      <c r="Z33" s="67"/>
    </row>
    <row r="34" spans="1:26" ht="12.75" customHeight="1" x14ac:dyDescent="0.2">
      <c r="A34" s="95"/>
      <c r="B34" s="20"/>
      <c r="C34" s="20"/>
      <c r="D34" s="23" t="s">
        <v>116</v>
      </c>
      <c r="E34" s="160">
        <f>+'MODULO 7'!D36</f>
        <v>0</v>
      </c>
      <c r="F34" s="92"/>
      <c r="G34" s="161"/>
      <c r="H34" s="92"/>
      <c r="I34" s="66"/>
      <c r="J34" s="67"/>
      <c r="K34" s="67"/>
      <c r="L34" s="67"/>
      <c r="M34" s="67"/>
      <c r="N34" s="67"/>
      <c r="O34" s="67"/>
      <c r="P34" s="67"/>
      <c r="Q34" s="67"/>
      <c r="R34" s="67"/>
      <c r="S34" s="67"/>
      <c r="T34" s="67"/>
      <c r="U34" s="67"/>
      <c r="V34" s="67"/>
      <c r="W34" s="67"/>
      <c r="X34" s="67"/>
      <c r="Y34" s="67"/>
      <c r="Z34" s="67"/>
    </row>
    <row r="35" spans="1:26" ht="12.75" customHeight="1" x14ac:dyDescent="0.2">
      <c r="A35" s="96"/>
      <c r="B35" s="20"/>
      <c r="C35" s="20"/>
      <c r="D35" s="23" t="s">
        <v>119</v>
      </c>
      <c r="E35" s="160">
        <f>+'MODULO 7'!D37</f>
        <v>0</v>
      </c>
      <c r="F35" s="92"/>
      <c r="G35" s="161"/>
      <c r="H35" s="92"/>
      <c r="I35" s="66"/>
      <c r="J35" s="67"/>
      <c r="K35" s="67"/>
      <c r="L35" s="67"/>
      <c r="M35" s="67"/>
      <c r="N35" s="67"/>
      <c r="O35" s="67"/>
      <c r="P35" s="67"/>
      <c r="Q35" s="67"/>
      <c r="R35" s="67"/>
      <c r="S35" s="67"/>
      <c r="T35" s="67"/>
      <c r="U35" s="67"/>
      <c r="V35" s="67"/>
      <c r="W35" s="67"/>
      <c r="X35" s="67"/>
      <c r="Y35" s="67"/>
      <c r="Z35" s="67"/>
    </row>
    <row r="36" spans="1:26" ht="54.75" customHeight="1" x14ac:dyDescent="0.2">
      <c r="A36" s="36" t="s">
        <v>140</v>
      </c>
      <c r="B36" s="170">
        <f>+'MODULO 7'!B42:H42</f>
        <v>0</v>
      </c>
      <c r="C36" s="91"/>
      <c r="D36" s="91"/>
      <c r="E36" s="91"/>
      <c r="F36" s="91"/>
      <c r="G36" s="91"/>
      <c r="H36" s="91"/>
      <c r="I36" s="92"/>
      <c r="J36" s="67"/>
      <c r="K36" s="67"/>
      <c r="L36" s="67"/>
      <c r="M36" s="67"/>
      <c r="N36" s="67"/>
      <c r="O36" s="67"/>
      <c r="P36" s="67"/>
      <c r="Q36" s="67"/>
      <c r="R36" s="67"/>
      <c r="S36" s="67"/>
      <c r="T36" s="67"/>
      <c r="U36" s="67"/>
      <c r="V36" s="67"/>
      <c r="W36" s="67"/>
      <c r="X36" s="67"/>
      <c r="Y36" s="67"/>
      <c r="Z36" s="67"/>
    </row>
    <row r="37" spans="1:26" ht="12.75" customHeight="1" x14ac:dyDescent="0.2">
      <c r="A37" s="175" t="s">
        <v>167</v>
      </c>
      <c r="B37" s="168" t="s">
        <v>44</v>
      </c>
      <c r="C37" s="91"/>
      <c r="D37" s="92"/>
      <c r="E37" s="168" t="s">
        <v>171</v>
      </c>
      <c r="F37" s="92"/>
      <c r="G37" s="39" t="s">
        <v>172</v>
      </c>
      <c r="H37" s="39" t="s">
        <v>176</v>
      </c>
      <c r="I37" s="39" t="s">
        <v>177</v>
      </c>
      <c r="J37" s="67"/>
      <c r="K37" s="67"/>
      <c r="L37" s="67"/>
      <c r="M37" s="67"/>
      <c r="N37" s="67"/>
      <c r="O37" s="67"/>
      <c r="P37" s="67"/>
      <c r="Q37" s="67"/>
      <c r="R37" s="67"/>
      <c r="S37" s="67"/>
      <c r="T37" s="67"/>
      <c r="U37" s="67"/>
      <c r="V37" s="67"/>
      <c r="W37" s="67"/>
      <c r="X37" s="67"/>
      <c r="Y37" s="67"/>
      <c r="Z37" s="67"/>
    </row>
    <row r="38" spans="1:26" ht="12.75" customHeight="1" x14ac:dyDescent="0.2">
      <c r="A38" s="95"/>
      <c r="B38" s="169"/>
      <c r="C38" s="91"/>
      <c r="D38" s="92"/>
      <c r="E38" s="169"/>
      <c r="F38" s="92"/>
      <c r="G38" s="42"/>
      <c r="H38" s="42"/>
      <c r="I38" s="47">
        <f t="shared" ref="I38:I42" si="0">+G38*H38</f>
        <v>0</v>
      </c>
      <c r="J38" s="67"/>
      <c r="K38" s="67"/>
      <c r="L38" s="67"/>
      <c r="M38" s="67"/>
      <c r="N38" s="67"/>
      <c r="O38" s="67"/>
      <c r="P38" s="67"/>
      <c r="Q38" s="67"/>
      <c r="R38" s="67"/>
      <c r="S38" s="67"/>
      <c r="T38" s="67"/>
      <c r="U38" s="67"/>
      <c r="V38" s="67"/>
      <c r="W38" s="67"/>
      <c r="X38" s="67"/>
      <c r="Y38" s="67"/>
      <c r="Z38" s="67"/>
    </row>
    <row r="39" spans="1:26" ht="12.75" customHeight="1" x14ac:dyDescent="0.2">
      <c r="A39" s="95"/>
      <c r="B39" s="169"/>
      <c r="C39" s="91"/>
      <c r="D39" s="92"/>
      <c r="E39" s="169"/>
      <c r="F39" s="92"/>
      <c r="G39" s="42"/>
      <c r="H39" s="42"/>
      <c r="I39" s="47">
        <f t="shared" si="0"/>
        <v>0</v>
      </c>
      <c r="J39" s="67"/>
      <c r="K39" s="67"/>
      <c r="L39" s="67"/>
      <c r="M39" s="67"/>
      <c r="N39" s="67"/>
      <c r="O39" s="67"/>
      <c r="P39" s="67"/>
      <c r="Q39" s="67"/>
      <c r="R39" s="67"/>
      <c r="S39" s="67"/>
      <c r="T39" s="67"/>
      <c r="U39" s="67"/>
      <c r="V39" s="67"/>
      <c r="W39" s="67"/>
      <c r="X39" s="67"/>
      <c r="Y39" s="67"/>
      <c r="Z39" s="67"/>
    </row>
    <row r="40" spans="1:26" ht="12.75" customHeight="1" x14ac:dyDescent="0.2">
      <c r="A40" s="95"/>
      <c r="B40" s="169"/>
      <c r="C40" s="91"/>
      <c r="D40" s="92"/>
      <c r="E40" s="169"/>
      <c r="F40" s="92"/>
      <c r="G40" s="42"/>
      <c r="H40" s="42"/>
      <c r="I40" s="47">
        <f t="shared" si="0"/>
        <v>0</v>
      </c>
      <c r="J40" s="67"/>
      <c r="K40" s="67"/>
      <c r="L40" s="67"/>
      <c r="M40" s="67"/>
      <c r="N40" s="67"/>
      <c r="O40" s="67"/>
      <c r="P40" s="67"/>
      <c r="Q40" s="67"/>
      <c r="R40" s="67"/>
      <c r="S40" s="67"/>
      <c r="T40" s="67"/>
      <c r="U40" s="67"/>
      <c r="V40" s="67"/>
      <c r="W40" s="67"/>
      <c r="X40" s="67"/>
      <c r="Y40" s="67"/>
      <c r="Z40" s="67"/>
    </row>
    <row r="41" spans="1:26" ht="12.75" customHeight="1" x14ac:dyDescent="0.2">
      <c r="A41" s="95"/>
      <c r="B41" s="169"/>
      <c r="C41" s="91"/>
      <c r="D41" s="92"/>
      <c r="E41" s="169"/>
      <c r="F41" s="92"/>
      <c r="G41" s="42"/>
      <c r="H41" s="42"/>
      <c r="I41" s="47">
        <f t="shared" si="0"/>
        <v>0</v>
      </c>
      <c r="J41" s="67"/>
      <c r="K41" s="67"/>
      <c r="L41" s="67"/>
      <c r="M41" s="67"/>
      <c r="N41" s="67"/>
      <c r="O41" s="67"/>
      <c r="P41" s="67"/>
      <c r="Q41" s="67"/>
      <c r="R41" s="67"/>
      <c r="S41" s="67"/>
      <c r="T41" s="67"/>
      <c r="U41" s="67"/>
      <c r="V41" s="67"/>
      <c r="W41" s="67"/>
      <c r="X41" s="67"/>
      <c r="Y41" s="67"/>
      <c r="Z41" s="67"/>
    </row>
    <row r="42" spans="1:26" ht="12.75" customHeight="1" x14ac:dyDescent="0.2">
      <c r="A42" s="95"/>
      <c r="B42" s="169"/>
      <c r="C42" s="91"/>
      <c r="D42" s="92"/>
      <c r="E42" s="169"/>
      <c r="F42" s="92"/>
      <c r="G42" s="42"/>
      <c r="H42" s="42"/>
      <c r="I42" s="47">
        <f t="shared" si="0"/>
        <v>0</v>
      </c>
      <c r="J42" s="67"/>
      <c r="K42" s="67"/>
      <c r="L42" s="67"/>
      <c r="M42" s="67"/>
      <c r="N42" s="67"/>
      <c r="O42" s="67"/>
      <c r="P42" s="67"/>
      <c r="Q42" s="67"/>
      <c r="R42" s="67"/>
      <c r="S42" s="67"/>
      <c r="T42" s="67"/>
      <c r="U42" s="67"/>
      <c r="V42" s="67"/>
      <c r="W42" s="67"/>
      <c r="X42" s="67"/>
      <c r="Y42" s="67"/>
      <c r="Z42" s="67"/>
    </row>
    <row r="43" spans="1:26" ht="12.75" customHeight="1" x14ac:dyDescent="0.2">
      <c r="A43" s="97"/>
      <c r="B43" s="171" t="s">
        <v>181</v>
      </c>
      <c r="C43" s="91"/>
      <c r="D43" s="91"/>
      <c r="E43" s="91"/>
      <c r="F43" s="91"/>
      <c r="G43" s="91"/>
      <c r="H43" s="92"/>
      <c r="I43" s="47">
        <f>SUM(I38:I42)</f>
        <v>0</v>
      </c>
      <c r="J43" s="67"/>
      <c r="K43" s="67"/>
      <c r="L43" s="67"/>
      <c r="M43" s="67"/>
      <c r="N43" s="67"/>
      <c r="O43" s="67"/>
      <c r="P43" s="67"/>
      <c r="Q43" s="67"/>
      <c r="R43" s="67"/>
      <c r="S43" s="67"/>
      <c r="T43" s="67"/>
      <c r="U43" s="67"/>
      <c r="V43" s="67"/>
      <c r="W43" s="67"/>
      <c r="X43" s="67"/>
      <c r="Y43" s="67"/>
      <c r="Z43" s="67"/>
    </row>
    <row r="44" spans="1:26" ht="12.75" customHeight="1" x14ac:dyDescent="0.2">
      <c r="A44" s="172" t="s">
        <v>182</v>
      </c>
      <c r="B44" s="173"/>
      <c r="C44" s="111"/>
      <c r="D44" s="111"/>
      <c r="E44" s="133"/>
      <c r="F44" s="50" t="s">
        <v>183</v>
      </c>
      <c r="G44" s="172" t="s">
        <v>161</v>
      </c>
      <c r="H44" s="174"/>
      <c r="I44" s="133"/>
      <c r="J44" s="67"/>
      <c r="K44" s="67"/>
      <c r="L44" s="67"/>
      <c r="M44" s="67"/>
      <c r="N44" s="67"/>
      <c r="O44" s="67"/>
      <c r="P44" s="67"/>
      <c r="Q44" s="67"/>
      <c r="R44" s="67"/>
      <c r="S44" s="67"/>
      <c r="T44" s="67"/>
      <c r="U44" s="67"/>
      <c r="V44" s="67"/>
      <c r="W44" s="67"/>
      <c r="X44" s="67"/>
      <c r="Y44" s="67"/>
      <c r="Z44" s="67"/>
    </row>
    <row r="45" spans="1:26" ht="12.75" customHeight="1" x14ac:dyDescent="0.2">
      <c r="A45" s="97"/>
      <c r="B45" s="114"/>
      <c r="C45" s="115"/>
      <c r="D45" s="115"/>
      <c r="E45" s="134"/>
      <c r="F45" s="52"/>
      <c r="G45" s="97"/>
      <c r="H45" s="114"/>
      <c r="I45" s="134"/>
      <c r="J45" s="67"/>
      <c r="K45" s="67"/>
      <c r="L45" s="67"/>
      <c r="M45" s="67"/>
      <c r="N45" s="67"/>
      <c r="O45" s="67"/>
      <c r="P45" s="67"/>
      <c r="Q45" s="67"/>
      <c r="R45" s="67"/>
      <c r="S45" s="67"/>
      <c r="T45" s="67"/>
      <c r="U45" s="67"/>
      <c r="V45" s="67"/>
      <c r="W45" s="67"/>
      <c r="X45" s="67"/>
      <c r="Y45" s="67"/>
      <c r="Z45" s="67"/>
    </row>
    <row r="46" spans="1:26" ht="12.75" customHeight="1" x14ac:dyDescent="0.2">
      <c r="A46" s="68"/>
      <c r="B46" s="68"/>
      <c r="C46" s="68"/>
      <c r="D46" s="68"/>
      <c r="E46" s="68"/>
      <c r="F46" s="68"/>
      <c r="G46" s="68"/>
      <c r="H46" s="68"/>
      <c r="I46" s="68"/>
      <c r="J46" s="67"/>
      <c r="K46" s="67"/>
      <c r="L46" s="67"/>
      <c r="M46" s="67"/>
      <c r="N46" s="67"/>
      <c r="O46" s="67"/>
      <c r="P46" s="67"/>
      <c r="Q46" s="67"/>
      <c r="R46" s="67"/>
      <c r="S46" s="67"/>
      <c r="T46" s="67"/>
      <c r="U46" s="67"/>
      <c r="V46" s="67"/>
      <c r="W46" s="67"/>
      <c r="X46" s="67"/>
      <c r="Y46" s="67"/>
      <c r="Z46" s="67"/>
    </row>
    <row r="47" spans="1:26" ht="12.75" customHeight="1" x14ac:dyDescent="0.2">
      <c r="A47" s="68"/>
      <c r="B47" s="68"/>
      <c r="C47" s="68"/>
      <c r="D47" s="68"/>
      <c r="E47" s="68"/>
      <c r="F47" s="68"/>
      <c r="G47" s="68"/>
      <c r="H47" s="68"/>
      <c r="I47" s="68"/>
      <c r="J47" s="67"/>
      <c r="K47" s="67"/>
      <c r="L47" s="67"/>
      <c r="M47" s="67"/>
      <c r="N47" s="67"/>
      <c r="O47" s="67"/>
      <c r="P47" s="67"/>
      <c r="Q47" s="67"/>
      <c r="R47" s="67"/>
      <c r="S47" s="67"/>
      <c r="T47" s="67"/>
      <c r="U47" s="67"/>
      <c r="V47" s="67"/>
      <c r="W47" s="67"/>
      <c r="X47" s="67"/>
      <c r="Y47" s="67"/>
      <c r="Z47" s="67"/>
    </row>
    <row r="48" spans="1:26" ht="12.75" customHeight="1" x14ac:dyDescent="0.2">
      <c r="A48" s="68"/>
      <c r="B48" s="68"/>
      <c r="C48" s="68"/>
      <c r="D48" s="68"/>
      <c r="E48" s="68"/>
      <c r="F48" s="68"/>
      <c r="G48" s="68"/>
      <c r="H48" s="68"/>
      <c r="I48" s="68"/>
      <c r="J48" s="67"/>
      <c r="K48" s="67"/>
      <c r="L48" s="67"/>
      <c r="M48" s="67"/>
      <c r="N48" s="67"/>
      <c r="O48" s="67"/>
      <c r="P48" s="67"/>
      <c r="Q48" s="67"/>
      <c r="R48" s="67"/>
      <c r="S48" s="67"/>
      <c r="T48" s="67"/>
      <c r="U48" s="67"/>
      <c r="V48" s="67"/>
      <c r="W48" s="67"/>
      <c r="X48" s="67"/>
      <c r="Y48" s="67"/>
      <c r="Z48" s="67"/>
    </row>
    <row r="49" spans="1:26" ht="12.75" customHeight="1" x14ac:dyDescent="0.2">
      <c r="A49" s="68"/>
      <c r="B49" s="68"/>
      <c r="C49" s="68"/>
      <c r="D49" s="68"/>
      <c r="E49" s="68"/>
      <c r="F49" s="68"/>
      <c r="G49" s="68"/>
      <c r="H49" s="68"/>
      <c r="I49" s="68"/>
      <c r="J49" s="67"/>
      <c r="K49" s="67"/>
      <c r="L49" s="67"/>
      <c r="M49" s="67"/>
      <c r="N49" s="67"/>
      <c r="O49" s="67"/>
      <c r="P49" s="67"/>
      <c r="Q49" s="67"/>
      <c r="R49" s="67"/>
      <c r="S49" s="67"/>
      <c r="T49" s="67"/>
      <c r="U49" s="67"/>
      <c r="V49" s="67"/>
      <c r="W49" s="67"/>
      <c r="X49" s="67"/>
      <c r="Y49" s="67"/>
      <c r="Z49" s="67"/>
    </row>
    <row r="50" spans="1:26" ht="12.75" customHeight="1" x14ac:dyDescent="0.2">
      <c r="A50" s="68"/>
      <c r="B50" s="68"/>
      <c r="C50" s="68"/>
      <c r="D50" s="68"/>
      <c r="E50" s="68"/>
      <c r="F50" s="68"/>
      <c r="G50" s="68"/>
      <c r="H50" s="68"/>
      <c r="I50" s="68"/>
      <c r="J50" s="67"/>
      <c r="K50" s="67"/>
      <c r="L50" s="67"/>
      <c r="M50" s="67"/>
      <c r="N50" s="67"/>
      <c r="O50" s="67"/>
      <c r="P50" s="67"/>
      <c r="Q50" s="67"/>
      <c r="R50" s="67"/>
      <c r="S50" s="67"/>
      <c r="T50" s="67"/>
      <c r="U50" s="67"/>
      <c r="V50" s="67"/>
      <c r="W50" s="67"/>
      <c r="X50" s="67"/>
      <c r="Y50" s="67"/>
      <c r="Z50" s="67"/>
    </row>
    <row r="51" spans="1:26" ht="12.75" customHeight="1" x14ac:dyDescent="0.2">
      <c r="A51" s="68"/>
      <c r="B51" s="68"/>
      <c r="C51" s="68"/>
      <c r="D51" s="68"/>
      <c r="E51" s="68"/>
      <c r="F51" s="68"/>
      <c r="G51" s="68"/>
      <c r="H51" s="68"/>
      <c r="I51" s="68"/>
      <c r="J51" s="67"/>
      <c r="K51" s="67"/>
      <c r="L51" s="67"/>
      <c r="M51" s="67"/>
      <c r="N51" s="67"/>
      <c r="O51" s="67"/>
      <c r="P51" s="67"/>
      <c r="Q51" s="67"/>
      <c r="R51" s="67"/>
      <c r="S51" s="67"/>
      <c r="T51" s="67"/>
      <c r="U51" s="67"/>
      <c r="V51" s="67"/>
      <c r="W51" s="67"/>
      <c r="X51" s="67"/>
      <c r="Y51" s="67"/>
      <c r="Z51" s="67"/>
    </row>
    <row r="52" spans="1:26" ht="12.75" customHeight="1" x14ac:dyDescent="0.2">
      <c r="A52" s="68"/>
      <c r="B52" s="68"/>
      <c r="C52" s="68"/>
      <c r="D52" s="68"/>
      <c r="E52" s="68"/>
      <c r="F52" s="68"/>
      <c r="G52" s="68"/>
      <c r="H52" s="68"/>
      <c r="I52" s="68"/>
      <c r="J52" s="67"/>
      <c r="K52" s="67"/>
      <c r="L52" s="67"/>
      <c r="M52" s="67"/>
      <c r="N52" s="67"/>
      <c r="O52" s="67"/>
      <c r="P52" s="67"/>
      <c r="Q52" s="67"/>
      <c r="R52" s="67"/>
      <c r="S52" s="67"/>
      <c r="T52" s="67"/>
      <c r="U52" s="67"/>
      <c r="V52" s="67"/>
      <c r="W52" s="67"/>
      <c r="X52" s="67"/>
      <c r="Y52" s="67"/>
      <c r="Z52" s="67"/>
    </row>
    <row r="53" spans="1:26" ht="12.75" customHeight="1" x14ac:dyDescent="0.2">
      <c r="A53" s="68"/>
      <c r="B53" s="68"/>
      <c r="C53" s="68"/>
      <c r="D53" s="68"/>
      <c r="E53" s="68"/>
      <c r="F53" s="68"/>
      <c r="G53" s="68"/>
      <c r="H53" s="68"/>
      <c r="I53" s="68"/>
      <c r="J53" s="67"/>
      <c r="K53" s="67"/>
      <c r="L53" s="67"/>
      <c r="M53" s="67"/>
      <c r="N53" s="67"/>
      <c r="O53" s="67"/>
      <c r="P53" s="67"/>
      <c r="Q53" s="67"/>
      <c r="R53" s="67"/>
      <c r="S53" s="67"/>
      <c r="T53" s="67"/>
      <c r="U53" s="67"/>
      <c r="V53" s="67"/>
      <c r="W53" s="67"/>
      <c r="X53" s="67"/>
      <c r="Y53" s="67"/>
      <c r="Z53" s="67"/>
    </row>
    <row r="54" spans="1:26" ht="12.75" customHeight="1" x14ac:dyDescent="0.2">
      <c r="A54" s="68"/>
      <c r="B54" s="68"/>
      <c r="C54" s="68"/>
      <c r="D54" s="68"/>
      <c r="E54" s="68"/>
      <c r="F54" s="68"/>
      <c r="G54" s="68"/>
      <c r="H54" s="68"/>
      <c r="I54" s="68"/>
      <c r="J54" s="67"/>
      <c r="K54" s="67"/>
      <c r="L54" s="67"/>
      <c r="M54" s="67"/>
      <c r="N54" s="67"/>
      <c r="O54" s="67"/>
      <c r="P54" s="67"/>
      <c r="Q54" s="67"/>
      <c r="R54" s="67"/>
      <c r="S54" s="67"/>
      <c r="T54" s="67"/>
      <c r="U54" s="67"/>
      <c r="V54" s="67"/>
      <c r="W54" s="67"/>
      <c r="X54" s="67"/>
      <c r="Y54" s="67"/>
      <c r="Z54" s="67"/>
    </row>
    <row r="55" spans="1:26" ht="12.75" customHeight="1" x14ac:dyDescent="0.2">
      <c r="A55" s="68"/>
      <c r="B55" s="68"/>
      <c r="C55" s="68"/>
      <c r="D55" s="68"/>
      <c r="E55" s="68"/>
      <c r="F55" s="68"/>
      <c r="G55" s="68"/>
      <c r="H55" s="68"/>
      <c r="I55" s="68"/>
      <c r="J55" s="67"/>
      <c r="K55" s="67"/>
      <c r="L55" s="67"/>
      <c r="M55" s="67"/>
      <c r="N55" s="67"/>
      <c r="O55" s="67"/>
      <c r="P55" s="67"/>
      <c r="Q55" s="67"/>
      <c r="R55" s="67"/>
      <c r="S55" s="67"/>
      <c r="T55" s="67"/>
      <c r="U55" s="67"/>
      <c r="V55" s="67"/>
      <c r="W55" s="67"/>
      <c r="X55" s="67"/>
      <c r="Y55" s="67"/>
      <c r="Z55" s="67"/>
    </row>
    <row r="56" spans="1:26" ht="12.75" customHeight="1" x14ac:dyDescent="0.2">
      <c r="A56" s="68"/>
      <c r="B56" s="68"/>
      <c r="C56" s="68"/>
      <c r="D56" s="68"/>
      <c r="E56" s="68"/>
      <c r="F56" s="68"/>
      <c r="G56" s="68"/>
      <c r="H56" s="68"/>
      <c r="I56" s="68"/>
      <c r="J56" s="67"/>
      <c r="K56" s="67"/>
      <c r="L56" s="67"/>
      <c r="M56" s="67"/>
      <c r="N56" s="67"/>
      <c r="O56" s="67"/>
      <c r="P56" s="67"/>
      <c r="Q56" s="67"/>
      <c r="R56" s="67"/>
      <c r="S56" s="67"/>
      <c r="T56" s="67"/>
      <c r="U56" s="67"/>
      <c r="V56" s="67"/>
      <c r="W56" s="67"/>
      <c r="X56" s="67"/>
      <c r="Y56" s="67"/>
      <c r="Z56" s="67"/>
    </row>
    <row r="57" spans="1:26" ht="12.75" customHeight="1" x14ac:dyDescent="0.2">
      <c r="A57" s="68"/>
      <c r="B57" s="68"/>
      <c r="C57" s="68"/>
      <c r="D57" s="68"/>
      <c r="E57" s="68"/>
      <c r="F57" s="68"/>
      <c r="G57" s="68"/>
      <c r="H57" s="68"/>
      <c r="I57" s="68"/>
      <c r="J57" s="67"/>
      <c r="K57" s="67"/>
      <c r="L57" s="67"/>
      <c r="M57" s="67"/>
      <c r="N57" s="67"/>
      <c r="O57" s="67"/>
      <c r="P57" s="67"/>
      <c r="Q57" s="67"/>
      <c r="R57" s="67"/>
      <c r="S57" s="67"/>
      <c r="T57" s="67"/>
      <c r="U57" s="67"/>
      <c r="V57" s="67"/>
      <c r="W57" s="67"/>
      <c r="X57" s="67"/>
      <c r="Y57" s="67"/>
      <c r="Z57" s="67"/>
    </row>
    <row r="58" spans="1:26" ht="12.75" customHeight="1" x14ac:dyDescent="0.2">
      <c r="A58" s="68"/>
      <c r="B58" s="68"/>
      <c r="C58" s="68"/>
      <c r="D58" s="68"/>
      <c r="E58" s="68"/>
      <c r="F58" s="68"/>
      <c r="G58" s="68"/>
      <c r="H58" s="68"/>
      <c r="I58" s="68"/>
      <c r="J58" s="67"/>
      <c r="K58" s="67"/>
      <c r="L58" s="67"/>
      <c r="M58" s="67"/>
      <c r="N58" s="67"/>
      <c r="O58" s="67"/>
      <c r="P58" s="67"/>
      <c r="Q58" s="67"/>
      <c r="R58" s="67"/>
      <c r="S58" s="67"/>
      <c r="T58" s="67"/>
      <c r="U58" s="67"/>
      <c r="V58" s="67"/>
      <c r="W58" s="67"/>
      <c r="X58" s="67"/>
      <c r="Y58" s="67"/>
      <c r="Z58" s="67"/>
    </row>
    <row r="59" spans="1:26" ht="12.75" customHeight="1" x14ac:dyDescent="0.2">
      <c r="A59" s="68"/>
      <c r="B59" s="68"/>
      <c r="C59" s="68"/>
      <c r="D59" s="68"/>
      <c r="E59" s="68"/>
      <c r="F59" s="68"/>
      <c r="G59" s="68"/>
      <c r="H59" s="68"/>
      <c r="I59" s="68"/>
      <c r="J59" s="67"/>
      <c r="K59" s="67"/>
      <c r="L59" s="67"/>
      <c r="M59" s="67"/>
      <c r="N59" s="67"/>
      <c r="O59" s="67"/>
      <c r="P59" s="67"/>
      <c r="Q59" s="67"/>
      <c r="R59" s="67"/>
      <c r="S59" s="67"/>
      <c r="T59" s="67"/>
      <c r="U59" s="67"/>
      <c r="V59" s="67"/>
      <c r="W59" s="67"/>
      <c r="X59" s="67"/>
      <c r="Y59" s="67"/>
      <c r="Z59" s="67"/>
    </row>
    <row r="60" spans="1:26" ht="12.75" customHeight="1" x14ac:dyDescent="0.2">
      <c r="A60" s="68"/>
      <c r="B60" s="68"/>
      <c r="C60" s="68"/>
      <c r="D60" s="68"/>
      <c r="E60" s="68"/>
      <c r="F60" s="68"/>
      <c r="G60" s="68"/>
      <c r="H60" s="68"/>
      <c r="I60" s="68"/>
      <c r="J60" s="67"/>
      <c r="K60" s="67"/>
      <c r="L60" s="67"/>
      <c r="M60" s="67"/>
      <c r="N60" s="67"/>
      <c r="O60" s="67"/>
      <c r="P60" s="67"/>
      <c r="Q60" s="67"/>
      <c r="R60" s="67"/>
      <c r="S60" s="67"/>
      <c r="T60" s="67"/>
      <c r="U60" s="67"/>
      <c r="V60" s="67"/>
      <c r="W60" s="67"/>
      <c r="X60" s="67"/>
      <c r="Y60" s="67"/>
      <c r="Z60" s="67"/>
    </row>
    <row r="61" spans="1:26" ht="12.75" customHeight="1" x14ac:dyDescent="0.2">
      <c r="A61" s="68"/>
      <c r="B61" s="68"/>
      <c r="C61" s="68"/>
      <c r="D61" s="68"/>
      <c r="E61" s="68"/>
      <c r="F61" s="68"/>
      <c r="G61" s="68"/>
      <c r="H61" s="68"/>
      <c r="I61" s="68"/>
      <c r="J61" s="67"/>
      <c r="K61" s="67"/>
      <c r="L61" s="67"/>
      <c r="M61" s="67"/>
      <c r="N61" s="67"/>
      <c r="O61" s="67"/>
      <c r="P61" s="67"/>
      <c r="Q61" s="67"/>
      <c r="R61" s="67"/>
      <c r="S61" s="67"/>
      <c r="T61" s="67"/>
      <c r="U61" s="67"/>
      <c r="V61" s="67"/>
      <c r="W61" s="67"/>
      <c r="X61" s="67"/>
      <c r="Y61" s="67"/>
      <c r="Z61" s="67"/>
    </row>
    <row r="62" spans="1:26" ht="12.75" customHeight="1" x14ac:dyDescent="0.2">
      <c r="A62" s="68"/>
      <c r="B62" s="68"/>
      <c r="C62" s="68"/>
      <c r="D62" s="68"/>
      <c r="E62" s="68"/>
      <c r="F62" s="68"/>
      <c r="G62" s="68"/>
      <c r="H62" s="68"/>
      <c r="I62" s="68"/>
      <c r="J62" s="67"/>
      <c r="K62" s="67"/>
      <c r="L62" s="67"/>
      <c r="M62" s="67"/>
      <c r="N62" s="67"/>
      <c r="O62" s="67"/>
      <c r="P62" s="67"/>
      <c r="Q62" s="67"/>
      <c r="R62" s="67"/>
      <c r="S62" s="67"/>
      <c r="T62" s="67"/>
      <c r="U62" s="67"/>
      <c r="V62" s="67"/>
      <c r="W62" s="67"/>
      <c r="X62" s="67"/>
      <c r="Y62" s="67"/>
      <c r="Z62" s="67"/>
    </row>
    <row r="63" spans="1:26" ht="12.75" customHeight="1" x14ac:dyDescent="0.2">
      <c r="A63" s="68"/>
      <c r="B63" s="68"/>
      <c r="C63" s="68"/>
      <c r="D63" s="68"/>
      <c r="E63" s="68"/>
      <c r="F63" s="68"/>
      <c r="G63" s="68"/>
      <c r="H63" s="68"/>
      <c r="I63" s="68"/>
      <c r="J63" s="67"/>
      <c r="K63" s="67"/>
      <c r="L63" s="67"/>
      <c r="M63" s="67"/>
      <c r="N63" s="67"/>
      <c r="O63" s="67"/>
      <c r="P63" s="67"/>
      <c r="Q63" s="67"/>
      <c r="R63" s="67"/>
      <c r="S63" s="67"/>
      <c r="T63" s="67"/>
      <c r="U63" s="67"/>
      <c r="V63" s="67"/>
      <c r="W63" s="67"/>
      <c r="X63" s="67"/>
      <c r="Y63" s="67"/>
      <c r="Z63" s="67"/>
    </row>
    <row r="64" spans="1:26" ht="12.75" customHeight="1" x14ac:dyDescent="0.2">
      <c r="A64" s="68"/>
      <c r="B64" s="68"/>
      <c r="C64" s="68"/>
      <c r="D64" s="68"/>
      <c r="E64" s="68"/>
      <c r="F64" s="68"/>
      <c r="G64" s="68"/>
      <c r="H64" s="68"/>
      <c r="I64" s="68"/>
      <c r="J64" s="67"/>
      <c r="K64" s="67"/>
      <c r="L64" s="67"/>
      <c r="M64" s="67"/>
      <c r="N64" s="67"/>
      <c r="O64" s="67"/>
      <c r="P64" s="67"/>
      <c r="Q64" s="67"/>
      <c r="R64" s="67"/>
      <c r="S64" s="67"/>
      <c r="T64" s="67"/>
      <c r="U64" s="67"/>
      <c r="V64" s="67"/>
      <c r="W64" s="67"/>
      <c r="X64" s="67"/>
      <c r="Y64" s="67"/>
      <c r="Z64" s="67"/>
    </row>
    <row r="65" spans="1:26" ht="12.75" customHeight="1" x14ac:dyDescent="0.2">
      <c r="A65" s="68"/>
      <c r="B65" s="68"/>
      <c r="C65" s="68"/>
      <c r="D65" s="68"/>
      <c r="E65" s="68"/>
      <c r="F65" s="68"/>
      <c r="G65" s="68"/>
      <c r="H65" s="68"/>
      <c r="I65" s="68"/>
      <c r="J65" s="67"/>
      <c r="K65" s="67"/>
      <c r="L65" s="67"/>
      <c r="M65" s="67"/>
      <c r="N65" s="67"/>
      <c r="O65" s="67"/>
      <c r="P65" s="67"/>
      <c r="Q65" s="67"/>
      <c r="R65" s="67"/>
      <c r="S65" s="67"/>
      <c r="T65" s="67"/>
      <c r="U65" s="67"/>
      <c r="V65" s="67"/>
      <c r="W65" s="67"/>
      <c r="X65" s="67"/>
      <c r="Y65" s="67"/>
      <c r="Z65" s="67"/>
    </row>
    <row r="66" spans="1:26" ht="12.75" customHeight="1" x14ac:dyDescent="0.2">
      <c r="A66" s="68"/>
      <c r="B66" s="68"/>
      <c r="C66" s="68"/>
      <c r="D66" s="68"/>
      <c r="E66" s="68"/>
      <c r="F66" s="68"/>
      <c r="G66" s="68"/>
      <c r="H66" s="68"/>
      <c r="I66" s="68"/>
      <c r="J66" s="67"/>
      <c r="K66" s="67"/>
      <c r="L66" s="67"/>
      <c r="M66" s="67"/>
      <c r="N66" s="67"/>
      <c r="O66" s="67"/>
      <c r="P66" s="67"/>
      <c r="Q66" s="67"/>
      <c r="R66" s="67"/>
      <c r="S66" s="67"/>
      <c r="T66" s="67"/>
      <c r="U66" s="67"/>
      <c r="V66" s="67"/>
      <c r="W66" s="67"/>
      <c r="X66" s="67"/>
      <c r="Y66" s="67"/>
      <c r="Z66" s="67"/>
    </row>
    <row r="67" spans="1:26" ht="12.75" customHeight="1" x14ac:dyDescent="0.2">
      <c r="A67" s="68"/>
      <c r="B67" s="68"/>
      <c r="C67" s="68"/>
      <c r="D67" s="68"/>
      <c r="E67" s="68"/>
      <c r="F67" s="68"/>
      <c r="G67" s="68"/>
      <c r="H67" s="68"/>
      <c r="I67" s="68"/>
      <c r="J67" s="67"/>
      <c r="K67" s="67"/>
      <c r="L67" s="67"/>
      <c r="M67" s="67"/>
      <c r="N67" s="67"/>
      <c r="O67" s="67"/>
      <c r="P67" s="67"/>
      <c r="Q67" s="67"/>
      <c r="R67" s="67"/>
      <c r="S67" s="67"/>
      <c r="T67" s="67"/>
      <c r="U67" s="67"/>
      <c r="V67" s="67"/>
      <c r="W67" s="67"/>
      <c r="X67" s="67"/>
      <c r="Y67" s="67"/>
      <c r="Z67" s="67"/>
    </row>
    <row r="68" spans="1:26" ht="12.75" customHeight="1" x14ac:dyDescent="0.2">
      <c r="A68" s="68"/>
      <c r="B68" s="68"/>
      <c r="C68" s="68"/>
      <c r="D68" s="68"/>
      <c r="E68" s="68"/>
      <c r="F68" s="68"/>
      <c r="G68" s="68"/>
      <c r="H68" s="68"/>
      <c r="I68" s="68"/>
      <c r="J68" s="67"/>
      <c r="K68" s="67"/>
      <c r="L68" s="67"/>
      <c r="M68" s="67"/>
      <c r="N68" s="67"/>
      <c r="O68" s="67"/>
      <c r="P68" s="67"/>
      <c r="Q68" s="67"/>
      <c r="R68" s="67"/>
      <c r="S68" s="67"/>
      <c r="T68" s="67"/>
      <c r="U68" s="67"/>
      <c r="V68" s="67"/>
      <c r="W68" s="67"/>
      <c r="X68" s="67"/>
      <c r="Y68" s="67"/>
      <c r="Z68" s="67"/>
    </row>
    <row r="69" spans="1:26" ht="12.75" customHeight="1" x14ac:dyDescent="0.2">
      <c r="A69" s="68"/>
      <c r="B69" s="68"/>
      <c r="C69" s="68"/>
      <c r="D69" s="68"/>
      <c r="E69" s="68"/>
      <c r="F69" s="68"/>
      <c r="G69" s="68"/>
      <c r="H69" s="68"/>
      <c r="I69" s="68"/>
      <c r="J69" s="67"/>
      <c r="K69" s="67"/>
      <c r="L69" s="67"/>
      <c r="M69" s="67"/>
      <c r="N69" s="67"/>
      <c r="O69" s="67"/>
      <c r="P69" s="67"/>
      <c r="Q69" s="67"/>
      <c r="R69" s="67"/>
      <c r="S69" s="67"/>
      <c r="T69" s="67"/>
      <c r="U69" s="67"/>
      <c r="V69" s="67"/>
      <c r="W69" s="67"/>
      <c r="X69" s="67"/>
      <c r="Y69" s="67"/>
      <c r="Z69" s="67"/>
    </row>
    <row r="70" spans="1:26" ht="12.75" customHeight="1" x14ac:dyDescent="0.2">
      <c r="A70" s="68"/>
      <c r="B70" s="68"/>
      <c r="C70" s="68"/>
      <c r="D70" s="68"/>
      <c r="E70" s="68"/>
      <c r="F70" s="68"/>
      <c r="G70" s="68"/>
      <c r="H70" s="68"/>
      <c r="I70" s="68"/>
      <c r="J70" s="67"/>
      <c r="K70" s="67"/>
      <c r="L70" s="67"/>
      <c r="M70" s="67"/>
      <c r="N70" s="67"/>
      <c r="O70" s="67"/>
      <c r="P70" s="67"/>
      <c r="Q70" s="67"/>
      <c r="R70" s="67"/>
      <c r="S70" s="67"/>
      <c r="T70" s="67"/>
      <c r="U70" s="67"/>
      <c r="V70" s="67"/>
      <c r="W70" s="67"/>
      <c r="X70" s="67"/>
      <c r="Y70" s="67"/>
      <c r="Z70" s="67"/>
    </row>
    <row r="71" spans="1:26" ht="12.75" customHeight="1" x14ac:dyDescent="0.2">
      <c r="A71" s="68"/>
      <c r="B71" s="68"/>
      <c r="C71" s="68"/>
      <c r="D71" s="68"/>
      <c r="E71" s="68"/>
      <c r="F71" s="68"/>
      <c r="G71" s="68"/>
      <c r="H71" s="68"/>
      <c r="I71" s="68"/>
      <c r="J71" s="67"/>
      <c r="K71" s="67"/>
      <c r="L71" s="67"/>
      <c r="M71" s="67"/>
      <c r="N71" s="67"/>
      <c r="O71" s="67"/>
      <c r="P71" s="67"/>
      <c r="Q71" s="67"/>
      <c r="R71" s="67"/>
      <c r="S71" s="67"/>
      <c r="T71" s="67"/>
      <c r="U71" s="67"/>
      <c r="V71" s="67"/>
      <c r="W71" s="67"/>
      <c r="X71" s="67"/>
      <c r="Y71" s="67"/>
      <c r="Z71" s="67"/>
    </row>
    <row r="72" spans="1:26" ht="12.75" customHeight="1" x14ac:dyDescent="0.2">
      <c r="A72" s="68"/>
      <c r="B72" s="68"/>
      <c r="C72" s="68"/>
      <c r="D72" s="68"/>
      <c r="E72" s="68"/>
      <c r="F72" s="68"/>
      <c r="G72" s="68"/>
      <c r="H72" s="68"/>
      <c r="I72" s="68"/>
      <c r="J72" s="67"/>
      <c r="K72" s="67"/>
      <c r="L72" s="67"/>
      <c r="M72" s="67"/>
      <c r="N72" s="67"/>
      <c r="O72" s="67"/>
      <c r="P72" s="67"/>
      <c r="Q72" s="67"/>
      <c r="R72" s="67"/>
      <c r="S72" s="67"/>
      <c r="T72" s="67"/>
      <c r="U72" s="67"/>
      <c r="V72" s="67"/>
      <c r="W72" s="67"/>
      <c r="X72" s="67"/>
      <c r="Y72" s="67"/>
      <c r="Z72" s="67"/>
    </row>
    <row r="73" spans="1:26" ht="12.75" customHeight="1" x14ac:dyDescent="0.2">
      <c r="A73" s="68"/>
      <c r="B73" s="68"/>
      <c r="C73" s="68"/>
      <c r="D73" s="68"/>
      <c r="E73" s="68"/>
      <c r="F73" s="68"/>
      <c r="G73" s="68"/>
      <c r="H73" s="68"/>
      <c r="I73" s="68"/>
      <c r="J73" s="67"/>
      <c r="K73" s="67"/>
      <c r="L73" s="67"/>
      <c r="M73" s="67"/>
      <c r="N73" s="67"/>
      <c r="O73" s="67"/>
      <c r="P73" s="67"/>
      <c r="Q73" s="67"/>
      <c r="R73" s="67"/>
      <c r="S73" s="67"/>
      <c r="T73" s="67"/>
      <c r="U73" s="67"/>
      <c r="V73" s="67"/>
      <c r="W73" s="67"/>
      <c r="X73" s="67"/>
      <c r="Y73" s="67"/>
      <c r="Z73" s="67"/>
    </row>
    <row r="74" spans="1:26" ht="12.75" customHeight="1" x14ac:dyDescent="0.2">
      <c r="A74" s="68"/>
      <c r="B74" s="68"/>
      <c r="C74" s="68"/>
      <c r="D74" s="68"/>
      <c r="E74" s="68"/>
      <c r="F74" s="68"/>
      <c r="G74" s="68"/>
      <c r="H74" s="68"/>
      <c r="I74" s="68"/>
      <c r="J74" s="67"/>
      <c r="K74" s="67"/>
      <c r="L74" s="67"/>
      <c r="M74" s="67"/>
      <c r="N74" s="67"/>
      <c r="O74" s="67"/>
      <c r="P74" s="67"/>
      <c r="Q74" s="67"/>
      <c r="R74" s="67"/>
      <c r="S74" s="67"/>
      <c r="T74" s="67"/>
      <c r="U74" s="67"/>
      <c r="V74" s="67"/>
      <c r="W74" s="67"/>
      <c r="X74" s="67"/>
      <c r="Y74" s="67"/>
      <c r="Z74" s="67"/>
    </row>
    <row r="75" spans="1:26" ht="12.75" customHeight="1" x14ac:dyDescent="0.2">
      <c r="A75" s="68"/>
      <c r="B75" s="68"/>
      <c r="C75" s="68"/>
      <c r="D75" s="68"/>
      <c r="E75" s="68"/>
      <c r="F75" s="68"/>
      <c r="G75" s="68"/>
      <c r="H75" s="68"/>
      <c r="I75" s="68"/>
      <c r="J75" s="67"/>
      <c r="K75" s="67"/>
      <c r="L75" s="67"/>
      <c r="M75" s="67"/>
      <c r="N75" s="67"/>
      <c r="O75" s="67"/>
      <c r="P75" s="67"/>
      <c r="Q75" s="67"/>
      <c r="R75" s="67"/>
      <c r="S75" s="67"/>
      <c r="T75" s="67"/>
      <c r="U75" s="67"/>
      <c r="V75" s="67"/>
      <c r="W75" s="67"/>
      <c r="X75" s="67"/>
      <c r="Y75" s="67"/>
      <c r="Z75" s="67"/>
    </row>
    <row r="76" spans="1:26" ht="12.75" customHeight="1" x14ac:dyDescent="0.2">
      <c r="A76" s="68"/>
      <c r="B76" s="68"/>
      <c r="C76" s="68"/>
      <c r="D76" s="68"/>
      <c r="E76" s="68"/>
      <c r="F76" s="68"/>
      <c r="G76" s="68"/>
      <c r="H76" s="68"/>
      <c r="I76" s="68"/>
      <c r="J76" s="67"/>
      <c r="K76" s="67"/>
      <c r="L76" s="67"/>
      <c r="M76" s="67"/>
      <c r="N76" s="67"/>
      <c r="O76" s="67"/>
      <c r="P76" s="67"/>
      <c r="Q76" s="67"/>
      <c r="R76" s="67"/>
      <c r="S76" s="67"/>
      <c r="T76" s="67"/>
      <c r="U76" s="67"/>
      <c r="V76" s="67"/>
      <c r="W76" s="67"/>
      <c r="X76" s="67"/>
      <c r="Y76" s="67"/>
      <c r="Z76" s="67"/>
    </row>
    <row r="77" spans="1:26" ht="12.75" customHeight="1" x14ac:dyDescent="0.2">
      <c r="A77" s="68"/>
      <c r="B77" s="68"/>
      <c r="C77" s="68"/>
      <c r="D77" s="68"/>
      <c r="E77" s="68"/>
      <c r="F77" s="68"/>
      <c r="G77" s="68"/>
      <c r="H77" s="68"/>
      <c r="I77" s="68"/>
      <c r="J77" s="67"/>
      <c r="K77" s="67"/>
      <c r="L77" s="67"/>
      <c r="M77" s="67"/>
      <c r="N77" s="67"/>
      <c r="O77" s="67"/>
      <c r="P77" s="67"/>
      <c r="Q77" s="67"/>
      <c r="R77" s="67"/>
      <c r="S77" s="67"/>
      <c r="T77" s="67"/>
      <c r="U77" s="67"/>
      <c r="V77" s="67"/>
      <c r="W77" s="67"/>
      <c r="X77" s="67"/>
      <c r="Y77" s="67"/>
      <c r="Z77" s="67"/>
    </row>
    <row r="78" spans="1:26" ht="12.75" customHeight="1" x14ac:dyDescent="0.2">
      <c r="A78" s="68"/>
      <c r="B78" s="68"/>
      <c r="C78" s="68"/>
      <c r="D78" s="68"/>
      <c r="E78" s="68"/>
      <c r="F78" s="68"/>
      <c r="G78" s="68"/>
      <c r="H78" s="68"/>
      <c r="I78" s="68"/>
      <c r="J78" s="67"/>
      <c r="K78" s="67"/>
      <c r="L78" s="67"/>
      <c r="M78" s="67"/>
      <c r="N78" s="67"/>
      <c r="O78" s="67"/>
      <c r="P78" s="67"/>
      <c r="Q78" s="67"/>
      <c r="R78" s="67"/>
      <c r="S78" s="67"/>
      <c r="T78" s="67"/>
      <c r="U78" s="67"/>
      <c r="V78" s="67"/>
      <c r="W78" s="67"/>
      <c r="X78" s="67"/>
      <c r="Y78" s="67"/>
      <c r="Z78" s="67"/>
    </row>
    <row r="79" spans="1:26" ht="12.75" customHeight="1" x14ac:dyDescent="0.2">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2.75" customHeight="1" x14ac:dyDescent="0.2">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2.75" customHeight="1" x14ac:dyDescent="0.2">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2.75" customHeight="1" x14ac:dyDescent="0.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2.75" customHeight="1" x14ac:dyDescent="0.2">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2.75" customHeight="1" x14ac:dyDescent="0.2">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2.75" customHeight="1"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2.75" customHeight="1" x14ac:dyDescent="0.2">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2.75" customHeight="1" x14ac:dyDescent="0.2">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2.75" customHeight="1" x14ac:dyDescent="0.2">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2.75" customHeight="1" x14ac:dyDescent="0.2">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2.75" customHeight="1" x14ac:dyDescent="0.2">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2.75" customHeight="1" x14ac:dyDescent="0.2">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2.75" customHeight="1" x14ac:dyDescent="0.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2.75" customHeight="1" x14ac:dyDescent="0.2">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2.75" customHeight="1" x14ac:dyDescent="0.2">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2.75" customHeight="1" x14ac:dyDescent="0.2">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2.75" customHeight="1" x14ac:dyDescent="0.2">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2.75" customHeight="1" x14ac:dyDescent="0.2">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2.75" customHeight="1" x14ac:dyDescent="0.2">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2.75" customHeight="1" x14ac:dyDescent="0.2">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2.75" customHeight="1" x14ac:dyDescent="0.2">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2.75" customHeight="1" x14ac:dyDescent="0.2">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2.75" customHeight="1" x14ac:dyDescent="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2.75" customHeight="1" x14ac:dyDescent="0.2">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2.75" customHeight="1" x14ac:dyDescent="0.2">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2.75" customHeight="1" x14ac:dyDescent="0.2">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2.75" customHeight="1" x14ac:dyDescent="0.2">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2.75" customHeight="1" x14ac:dyDescent="0.2">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2.75" customHeight="1" x14ac:dyDescent="0.2">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2.75" customHeight="1" x14ac:dyDescent="0.2">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2.75" customHeight="1" x14ac:dyDescent="0.2">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2.75" customHeight="1"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2.75" customHeight="1"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2.75" customHeight="1"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2.75" customHeight="1" x14ac:dyDescent="0.2">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2.75" customHeight="1"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2.75" customHeight="1" x14ac:dyDescent="0.2">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2.75" customHeight="1"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2.75" customHeight="1"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2.75" customHeight="1"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2.75" customHeight="1"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2.7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2.7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2.7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2.7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2.7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2.7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2.7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2.7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2.7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2.7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2.7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2.7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2.7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2.7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2.7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2.7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2.7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2.7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2.7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2.7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2.7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2.7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2.7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2.7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2.7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2.7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2.7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2.7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2.7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2.7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2.7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2.7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2.7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2.7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2.7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2.7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2.7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2.7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2.7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2.7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2.7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2.7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2.7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2.7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2.7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2.7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2.7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2.7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2.7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2.7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2.7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2.7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2.7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2.7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2.7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2.7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2.7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2.7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2.7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2.7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2.7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2.7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2.7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2.7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2.7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2.7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2.7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2.7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2.7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2.7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2.7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2.7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2.7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2.7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2.7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2.7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2.7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2.7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2.7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2.7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2.7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2.7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2.7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2.7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2.7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2.7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2.7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2.7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2.7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2.7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2.7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2.7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2.7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2.7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2.7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2.7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2.7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2.75"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2.75"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2.75"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2.75"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2.75" customHeight="1" x14ac:dyDescent="0.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2.75" customHeight="1" x14ac:dyDescent="0.2">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2.75" customHeight="1" x14ac:dyDescent="0.2">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2.75" customHeight="1" x14ac:dyDescent="0.2">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2.75" customHeight="1" x14ac:dyDescent="0.2">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2.75" customHeight="1" x14ac:dyDescent="0.2">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2.75" customHeight="1" x14ac:dyDescent="0.2">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2.75" customHeight="1" x14ac:dyDescent="0.2">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2.75" customHeight="1" x14ac:dyDescent="0.2">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2.75" customHeight="1" x14ac:dyDescent="0.2">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2.75" customHeight="1" x14ac:dyDescent="0.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2.75" customHeight="1" x14ac:dyDescent="0.2">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2.75" customHeight="1" x14ac:dyDescent="0.2">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2.75" customHeight="1" x14ac:dyDescent="0.2">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2.75" customHeight="1" x14ac:dyDescent="0.2">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2.75" customHeight="1" x14ac:dyDescent="0.2">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2.75" customHeight="1" x14ac:dyDescent="0.2">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2.75" customHeight="1" x14ac:dyDescent="0.2">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2.75" customHeight="1" x14ac:dyDescent="0.2">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2.75" customHeight="1" x14ac:dyDescent="0.2">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2.75" customHeight="1" x14ac:dyDescent="0.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2.75" customHeight="1" x14ac:dyDescent="0.2">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2.75" customHeight="1" x14ac:dyDescent="0.2">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2.75" customHeight="1" x14ac:dyDescent="0.2">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2.75" customHeight="1" x14ac:dyDescent="0.2">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2.75" customHeight="1" x14ac:dyDescent="0.2">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2.75" customHeight="1" x14ac:dyDescent="0.2">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2.75" customHeight="1" x14ac:dyDescent="0.2">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2.75" customHeight="1" x14ac:dyDescent="0.2">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2.75" customHeight="1" x14ac:dyDescent="0.2">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2.75" customHeight="1" x14ac:dyDescent="0.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2.75" customHeight="1" x14ac:dyDescent="0.2">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2.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2.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2.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2.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2.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2.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2.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2.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2.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2.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2.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2.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2.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2.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2.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2.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2.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2.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2.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2.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2.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2.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2.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2.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2.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2.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2.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2.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2.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2.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2.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2.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2.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2.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2.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2.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2.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2.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2.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2.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2.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2.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2.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2.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2.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2.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2.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2.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2.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2.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2.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2.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2.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2.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2.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2.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2.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2.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2.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2.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2.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2.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2.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2.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2.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2.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2.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2.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2.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2.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2.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2.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2.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2.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2.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2.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2.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2.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2.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2.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2.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2.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2.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2.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2.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2.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2.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2.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2.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2.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2.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2.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2.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2.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2.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2.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2.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2.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2.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2.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2.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2.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2.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2.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2.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2.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2.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2.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2.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2.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2.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2.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2.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2.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2.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2.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2.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2.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2.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2.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2.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2.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2.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2.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2.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2.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2.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2.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2.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2.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2.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2.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2.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2.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2.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2.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2.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2.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2.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2.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2.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2.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2.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2.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2.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2.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2.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2.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2.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2.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2.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2.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2.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2.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2.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2.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2.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2.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2.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2.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2.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2.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2.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2.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2.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2.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2.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2.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2.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2.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2.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2.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2.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2.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2.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2.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2.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2.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2.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2.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2.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2.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2.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2.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2.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2.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2.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2.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2.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2.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2.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2.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2.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2.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2.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2.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2.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2.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2.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2.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2.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2.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2.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2.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2.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2.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2.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2.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2.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2.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2.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2.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2.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2.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2.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2.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2.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2.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2.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2.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2.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2.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2.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2.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2.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2.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2.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2.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2.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2.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2.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2.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2.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2.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2.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2.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2.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2.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2.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2.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2.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2.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2.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2.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2.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2.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2.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2.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2.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2.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2.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2.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2.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2.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2.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2.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2.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2.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2.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2.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2.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2.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2.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2.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2.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2.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2.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2.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2.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2.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2.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2.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2.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2.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2.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2.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2.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2.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2.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2.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2.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2.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2.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2.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2.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2.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2.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2.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2.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2.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2.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2.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2.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2.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2.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2.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2.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2.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2.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2.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2.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2.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2.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2.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2.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2.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2.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2.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2.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2.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2.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2.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2.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2.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2.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2.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2.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2.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2.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2.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2.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2.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2.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2.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2.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2.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2.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2.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2.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2.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2.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2.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2.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2.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2.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2.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2.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2.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2.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2.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2.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2.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2.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2.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2.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2.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2.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2.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2.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2.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2.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2.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2.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2.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2.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2.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2.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2.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2.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2.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2.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2.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2.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2.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2.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2.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2.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2.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2.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2.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2.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2.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2.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2.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2.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2.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2.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2.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2.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2.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2.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2.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2.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2.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2.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2.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2.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2.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2.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2.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2.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2.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2.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2.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2.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2.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2.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2.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2.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2.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2.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2.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2.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2.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2.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2.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2.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2.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2.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2.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2.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2.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2.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2.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2.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2.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2.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2.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2.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2.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2.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2.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2.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2.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2.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2.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2.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2.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2.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2.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2.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2.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2.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2.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2.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2.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2.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2.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2.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2.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2.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2.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2.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2.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2.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2.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2.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2.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2.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2.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2.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2.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2.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2.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2.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2.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2.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2.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2.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2.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2.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2.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2.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2.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2.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2.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2.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2.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2.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2.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2.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2.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2.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2.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2.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2.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2.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2.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2.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2.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2.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2.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2.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2.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2.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2.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2.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2.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2.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2.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2.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2.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2.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2.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2.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2.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2.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2.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2.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2.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2.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2.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2.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2.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2.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2.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2.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2.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2.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2.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2.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2.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2.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2.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2.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2.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2.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2.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2.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2.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2.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2.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2.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2.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2.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2.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2.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2.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2.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2.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2.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2.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2.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2.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2.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2.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2.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2.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2.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2.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2.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2.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2.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2.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2.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2.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2.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2.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2.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2.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2.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2.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2.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2.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2.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2.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2.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2.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2.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2.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2.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2.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2.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2.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2.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2.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2.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2.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2.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2.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2.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2.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2.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2.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2.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2.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2.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2.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2.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2.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2.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2.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2.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2.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2.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2.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2.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2.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2.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2.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2.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2.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2.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2.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2.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2.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2.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2.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2.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2.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2.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2.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2.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2.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2.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2.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2.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2.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2.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2.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2.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2.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2.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2.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2.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2.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2.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2.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2.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2.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2.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2.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2.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2.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2.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2.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2.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2.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2.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2.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2.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2.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2.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2.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2.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2.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2.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2.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2.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2.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2.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2.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2.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2.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2.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2.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2.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2.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2.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2.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2.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2.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2.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2.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2.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2.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2.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2.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2.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2.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2.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2.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2.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2.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2.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2.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2.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2.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2.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2.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2.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2.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2.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2.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2.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2.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2.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2.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2.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2.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2.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2.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2.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2.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2.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2.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2.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2.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2.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2.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2.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2.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2.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2.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2.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2.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2.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2.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2.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2.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2.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2.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2.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2.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2.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2.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2.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2.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2.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2.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2.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2.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2.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2.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2.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2.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2.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2.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2.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2.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2.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2.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2.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2.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2.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2.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2.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2.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2.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2.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2.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2.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2.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2.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2.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2.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2.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2.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2.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2.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2.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2.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2.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2.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2.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2.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2.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89">
    <mergeCell ref="G16:H16"/>
    <mergeCell ref="G17:H17"/>
    <mergeCell ref="A21:A25"/>
    <mergeCell ref="A26:A30"/>
    <mergeCell ref="E26:F26"/>
    <mergeCell ref="G26:H26"/>
    <mergeCell ref="E27:F27"/>
    <mergeCell ref="G27:H27"/>
    <mergeCell ref="E28:F28"/>
    <mergeCell ref="G28:H28"/>
    <mergeCell ref="E30:F30"/>
    <mergeCell ref="A31:A35"/>
    <mergeCell ref="E31:F31"/>
    <mergeCell ref="E32:F32"/>
    <mergeCell ref="E33:F33"/>
    <mergeCell ref="E34:F34"/>
    <mergeCell ref="E35:F35"/>
    <mergeCell ref="B42:D42"/>
    <mergeCell ref="E42:F42"/>
    <mergeCell ref="B43:H43"/>
    <mergeCell ref="A44:A45"/>
    <mergeCell ref="B44:E45"/>
    <mergeCell ref="G44:G45"/>
    <mergeCell ref="H44:I45"/>
    <mergeCell ref="A37:A43"/>
    <mergeCell ref="B37:D37"/>
    <mergeCell ref="B39:D39"/>
    <mergeCell ref="E39:F39"/>
    <mergeCell ref="B40:D40"/>
    <mergeCell ref="E40:F40"/>
    <mergeCell ref="B41:D41"/>
    <mergeCell ref="E41:F41"/>
    <mergeCell ref="G34:H34"/>
    <mergeCell ref="G35:H35"/>
    <mergeCell ref="E37:F37"/>
    <mergeCell ref="B38:D38"/>
    <mergeCell ref="E38:F38"/>
    <mergeCell ref="B36:I36"/>
    <mergeCell ref="G30:H30"/>
    <mergeCell ref="G31:H31"/>
    <mergeCell ref="G32:H32"/>
    <mergeCell ref="G33:H33"/>
    <mergeCell ref="E23:F23"/>
    <mergeCell ref="G23:H23"/>
    <mergeCell ref="E24:F24"/>
    <mergeCell ref="G24:H24"/>
    <mergeCell ref="E25:F25"/>
    <mergeCell ref="G25:H25"/>
    <mergeCell ref="E29:F29"/>
    <mergeCell ref="G29:H29"/>
    <mergeCell ref="E20:F20"/>
    <mergeCell ref="G20:H20"/>
    <mergeCell ref="G21:H21"/>
    <mergeCell ref="E22:F22"/>
    <mergeCell ref="G22:H22"/>
    <mergeCell ref="E21:F21"/>
    <mergeCell ref="A10:A15"/>
    <mergeCell ref="E18:F18"/>
    <mergeCell ref="G18:H18"/>
    <mergeCell ref="E19:F19"/>
    <mergeCell ref="G19:H19"/>
    <mergeCell ref="E17:F17"/>
    <mergeCell ref="E16:F16"/>
    <mergeCell ref="E12:F12"/>
    <mergeCell ref="G12:H12"/>
    <mergeCell ref="E13:F13"/>
    <mergeCell ref="G13:H13"/>
    <mergeCell ref="E14:F14"/>
    <mergeCell ref="G14:H14"/>
    <mergeCell ref="E15:F15"/>
    <mergeCell ref="G15:H15"/>
    <mergeCell ref="A16:A20"/>
    <mergeCell ref="B4:I4"/>
    <mergeCell ref="H5:I5"/>
    <mergeCell ref="D10:F10"/>
    <mergeCell ref="G10:H10"/>
    <mergeCell ref="E11:F11"/>
    <mergeCell ref="G11:H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0E00-000000000000}">
          <x14:formula1>
            <xm:f>'LISTAS-OCULTAR'!$A$1:$A$4</xm:f>
          </x14:formula1>
          <xm:sqref>I11:I35</xm:sqref>
        </x14:dataValidation>
        <x14:dataValidation type="list" allowBlank="1" showErrorMessage="1" xr:uid="{00000000-0002-0000-0E00-000001000000}">
          <x14:formula1>
            <xm:f>'LISTAS-OCULTAR'!$A$1:$A$3</xm:f>
          </x14:formula1>
          <xm:sqref>B38:B42</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showGridLines="0" workbookViewId="0"/>
  </sheetViews>
  <sheetFormatPr baseColWidth="10" defaultColWidth="12.5703125" defaultRowHeight="15" customHeight="1" x14ac:dyDescent="0.2"/>
  <cols>
    <col min="1" max="1" width="21.7109375" customWidth="1"/>
    <col min="2" max="2" width="23" customWidth="1"/>
    <col min="3" max="3" width="5.42578125" customWidth="1"/>
    <col min="4" max="4" width="11" customWidth="1"/>
    <col min="6" max="6" width="11.5703125" customWidth="1"/>
    <col min="7" max="7" width="15.5703125" customWidth="1"/>
    <col min="8" max="8" width="25.28515625" customWidth="1"/>
    <col min="9" max="26" width="10.7109375" customWidth="1"/>
  </cols>
  <sheetData>
    <row r="1" spans="1:26" ht="32.25" customHeight="1" x14ac:dyDescent="0.2">
      <c r="A1" s="132"/>
      <c r="B1" s="133"/>
      <c r="C1" s="135" t="s">
        <v>0</v>
      </c>
      <c r="D1" s="111"/>
      <c r="E1" s="111"/>
      <c r="F1" s="111"/>
      <c r="G1" s="111"/>
      <c r="H1" s="136"/>
      <c r="I1" s="1"/>
      <c r="J1" s="1"/>
      <c r="K1" s="1"/>
      <c r="L1" s="1"/>
      <c r="M1" s="1"/>
      <c r="N1" s="1"/>
      <c r="O1" s="1"/>
      <c r="P1" s="1"/>
      <c r="Q1" s="1"/>
      <c r="R1" s="1"/>
      <c r="S1" s="1"/>
      <c r="T1" s="1"/>
      <c r="U1" s="1"/>
      <c r="V1" s="1"/>
      <c r="W1" s="1"/>
      <c r="X1" s="1"/>
      <c r="Y1" s="1"/>
      <c r="Z1" s="1"/>
    </row>
    <row r="2" spans="1:26" ht="21.75" customHeight="1" x14ac:dyDescent="0.2">
      <c r="A2" s="114"/>
      <c r="B2" s="134"/>
      <c r="C2" s="137" t="s">
        <v>2</v>
      </c>
      <c r="D2" s="91"/>
      <c r="E2" s="91"/>
      <c r="F2" s="91"/>
      <c r="G2" s="91"/>
      <c r="H2" s="97"/>
      <c r="I2" s="1"/>
      <c r="J2" s="1"/>
      <c r="K2" s="1"/>
      <c r="L2" s="1"/>
      <c r="M2" s="1"/>
      <c r="N2" s="1"/>
      <c r="O2" s="1"/>
      <c r="P2" s="1"/>
      <c r="Q2" s="1"/>
      <c r="R2" s="1"/>
      <c r="S2" s="1"/>
      <c r="T2" s="1"/>
      <c r="U2" s="1"/>
      <c r="V2" s="1"/>
      <c r="W2" s="1"/>
      <c r="X2" s="1"/>
      <c r="Y2" s="1"/>
      <c r="Z2" s="1"/>
    </row>
    <row r="3" spans="1:26" ht="15.75" customHeight="1" x14ac:dyDescent="0.2">
      <c r="A3" s="2"/>
      <c r="B3" s="138" t="s">
        <v>4</v>
      </c>
      <c r="C3" s="111"/>
      <c r="D3" s="111"/>
      <c r="E3" s="111"/>
      <c r="F3" s="111"/>
      <c r="G3" s="111"/>
      <c r="H3" s="111"/>
      <c r="I3" s="3"/>
      <c r="J3" s="1"/>
      <c r="K3" s="1"/>
      <c r="L3" s="1"/>
      <c r="M3" s="1"/>
      <c r="N3" s="1"/>
      <c r="O3" s="1"/>
      <c r="P3" s="1"/>
      <c r="Q3" s="1"/>
      <c r="R3" s="1"/>
      <c r="S3" s="1"/>
      <c r="T3" s="1"/>
      <c r="U3" s="1"/>
      <c r="V3" s="1"/>
      <c r="W3" s="1"/>
      <c r="X3" s="1"/>
      <c r="Y3" s="1"/>
      <c r="Z3" s="1"/>
    </row>
    <row r="4" spans="1:26" ht="22.5" customHeight="1" x14ac:dyDescent="0.25">
      <c r="A4" s="4" t="s">
        <v>7</v>
      </c>
      <c r="B4" s="139" t="str">
        <f>+'RESUMEN DIPLOMADO'!D3</f>
        <v>DIPLOMADO EN BIG DATA E INTELIGENCIA ARTIFICIAL</v>
      </c>
      <c r="C4" s="91"/>
      <c r="D4" s="91"/>
      <c r="E4" s="91"/>
      <c r="F4" s="92"/>
      <c r="G4" s="7" t="s">
        <v>9</v>
      </c>
      <c r="H4" s="10" t="str">
        <f>+'RESUMEN DIPLOMADO'!M3</f>
        <v>150 horas
120 horas sincrónicas y
30 horas asincrónicas</v>
      </c>
      <c r="I4" s="11"/>
      <c r="J4" s="11"/>
      <c r="K4" s="11"/>
      <c r="L4" s="11"/>
      <c r="M4" s="11"/>
      <c r="N4" s="11"/>
      <c r="O4" s="11"/>
      <c r="P4" s="11"/>
      <c r="Q4" s="11"/>
      <c r="R4" s="11"/>
      <c r="S4" s="11"/>
      <c r="T4" s="11"/>
      <c r="U4" s="11"/>
      <c r="V4" s="11"/>
      <c r="W4" s="11"/>
      <c r="X4" s="11"/>
      <c r="Y4" s="11"/>
      <c r="Z4" s="11"/>
    </row>
    <row r="5" spans="1:26" ht="22.5" customHeight="1" x14ac:dyDescent="0.25">
      <c r="A5" s="12" t="s">
        <v>231</v>
      </c>
      <c r="B5" s="177"/>
      <c r="C5" s="91"/>
      <c r="D5" s="91"/>
      <c r="E5" s="91"/>
      <c r="F5" s="92"/>
      <c r="G5" s="14" t="s">
        <v>9</v>
      </c>
      <c r="H5" s="75"/>
      <c r="I5" s="11"/>
      <c r="J5" s="11"/>
      <c r="K5" s="11"/>
      <c r="L5" s="11"/>
      <c r="M5" s="11"/>
      <c r="N5" s="11"/>
      <c r="O5" s="11"/>
      <c r="P5" s="11"/>
      <c r="Q5" s="11"/>
      <c r="R5" s="11"/>
      <c r="S5" s="11"/>
      <c r="T5" s="11"/>
      <c r="U5" s="11"/>
      <c r="V5" s="11"/>
      <c r="W5" s="11"/>
      <c r="X5" s="11"/>
      <c r="Y5" s="11"/>
      <c r="Z5" s="11"/>
    </row>
    <row r="6" spans="1:26" ht="102.75" customHeight="1" x14ac:dyDescent="0.2">
      <c r="A6" s="17" t="s">
        <v>34</v>
      </c>
      <c r="B6" s="140"/>
      <c r="C6" s="91"/>
      <c r="D6" s="91"/>
      <c r="E6" s="91"/>
      <c r="F6" s="91"/>
      <c r="G6" s="91"/>
      <c r="H6" s="92"/>
      <c r="I6" s="18"/>
      <c r="J6" s="18"/>
      <c r="K6" s="18"/>
      <c r="L6" s="18"/>
      <c r="M6" s="18"/>
      <c r="N6" s="18"/>
      <c r="O6" s="18"/>
      <c r="P6" s="18"/>
      <c r="Q6" s="18"/>
      <c r="R6" s="18"/>
      <c r="S6" s="18"/>
      <c r="T6" s="18"/>
      <c r="U6" s="18"/>
      <c r="V6" s="18"/>
      <c r="W6" s="18"/>
      <c r="X6" s="18"/>
      <c r="Y6" s="18"/>
      <c r="Z6" s="18"/>
    </row>
    <row r="7" spans="1:26" ht="27" customHeight="1" x14ac:dyDescent="0.2">
      <c r="A7" s="17" t="s">
        <v>13</v>
      </c>
      <c r="B7" s="140"/>
      <c r="C7" s="91"/>
      <c r="D7" s="91"/>
      <c r="E7" s="91"/>
      <c r="F7" s="91"/>
      <c r="G7" s="91"/>
      <c r="H7" s="92"/>
      <c r="I7" s="18"/>
      <c r="J7" s="18"/>
      <c r="K7" s="18"/>
      <c r="L7" s="18"/>
      <c r="M7" s="18"/>
      <c r="N7" s="18"/>
      <c r="O7" s="18"/>
      <c r="P7" s="18"/>
      <c r="Q7" s="18"/>
      <c r="R7" s="18"/>
      <c r="S7" s="18"/>
      <c r="T7" s="18"/>
      <c r="U7" s="18"/>
      <c r="V7" s="18"/>
      <c r="W7" s="18"/>
      <c r="X7" s="18"/>
      <c r="Y7" s="18"/>
      <c r="Z7" s="18"/>
    </row>
    <row r="8" spans="1:26" ht="30" customHeight="1" x14ac:dyDescent="0.2">
      <c r="A8" s="17" t="s">
        <v>31</v>
      </c>
      <c r="B8" s="140"/>
      <c r="C8" s="91"/>
      <c r="D8" s="91"/>
      <c r="E8" s="91"/>
      <c r="F8" s="91"/>
      <c r="G8" s="91"/>
      <c r="H8" s="92"/>
      <c r="I8" s="18"/>
      <c r="J8" s="18"/>
      <c r="K8" s="18"/>
      <c r="L8" s="18"/>
      <c r="M8" s="18"/>
      <c r="N8" s="18"/>
      <c r="O8" s="18"/>
      <c r="P8" s="18"/>
      <c r="Q8" s="18"/>
      <c r="R8" s="18"/>
      <c r="S8" s="18"/>
      <c r="T8" s="18"/>
      <c r="U8" s="18"/>
      <c r="V8" s="18"/>
      <c r="W8" s="18"/>
      <c r="X8" s="18"/>
      <c r="Y8" s="18"/>
      <c r="Z8" s="18"/>
    </row>
    <row r="9" spans="1:26" ht="30" customHeight="1" x14ac:dyDescent="0.2">
      <c r="A9" s="17" t="s">
        <v>22</v>
      </c>
      <c r="B9" s="140"/>
      <c r="C9" s="91"/>
      <c r="D9" s="91"/>
      <c r="E9" s="91"/>
      <c r="F9" s="91"/>
      <c r="G9" s="91"/>
      <c r="H9" s="92"/>
      <c r="I9" s="18"/>
      <c r="J9" s="18"/>
      <c r="K9" s="18"/>
      <c r="L9" s="18"/>
      <c r="M9" s="18"/>
      <c r="N9" s="18"/>
      <c r="O9" s="18"/>
      <c r="P9" s="18"/>
      <c r="Q9" s="18"/>
      <c r="R9" s="18"/>
      <c r="S9" s="18"/>
      <c r="T9" s="18"/>
      <c r="U9" s="18"/>
      <c r="V9" s="18"/>
      <c r="W9" s="18"/>
      <c r="X9" s="18"/>
      <c r="Y9" s="18"/>
      <c r="Z9" s="18"/>
    </row>
    <row r="10" spans="1:26" ht="30.75" customHeight="1" x14ac:dyDescent="0.2">
      <c r="A10" s="17" t="s">
        <v>18</v>
      </c>
      <c r="B10" s="140" t="s">
        <v>347</v>
      </c>
      <c r="C10" s="91"/>
      <c r="D10" s="91"/>
      <c r="E10" s="91"/>
      <c r="F10" s="91"/>
      <c r="G10" s="91"/>
      <c r="H10" s="92"/>
      <c r="I10" s="18"/>
      <c r="J10" s="18"/>
      <c r="K10" s="18"/>
      <c r="L10" s="18"/>
      <c r="M10" s="18"/>
      <c r="N10" s="18"/>
      <c r="O10" s="18"/>
      <c r="P10" s="18"/>
      <c r="Q10" s="18"/>
      <c r="R10" s="18"/>
      <c r="S10" s="18"/>
      <c r="T10" s="18"/>
      <c r="U10" s="18"/>
      <c r="V10" s="18"/>
      <c r="W10" s="18"/>
      <c r="X10" s="18"/>
      <c r="Y10" s="18"/>
      <c r="Z10" s="18"/>
    </row>
    <row r="11" spans="1:26" ht="48.75" customHeight="1" x14ac:dyDescent="0.2">
      <c r="A11" s="17" t="s">
        <v>23</v>
      </c>
      <c r="B11" s="140"/>
      <c r="C11" s="91"/>
      <c r="D11" s="91"/>
      <c r="E11" s="91"/>
      <c r="F11" s="91"/>
      <c r="G11" s="91"/>
      <c r="H11" s="92"/>
      <c r="I11" s="18"/>
      <c r="J11" s="18"/>
      <c r="K11" s="18"/>
      <c r="L11" s="18"/>
      <c r="M11" s="18"/>
      <c r="N11" s="18"/>
      <c r="O11" s="18"/>
      <c r="P11" s="18"/>
      <c r="Q11" s="18"/>
      <c r="R11" s="18"/>
      <c r="S11" s="18"/>
      <c r="T11" s="18"/>
      <c r="U11" s="18"/>
      <c r="V11" s="18"/>
      <c r="W11" s="18"/>
      <c r="X11" s="18"/>
      <c r="Y11" s="18"/>
      <c r="Z11" s="18"/>
    </row>
    <row r="12" spans="1:26" ht="65.25" customHeight="1" x14ac:dyDescent="0.2">
      <c r="A12" s="17" t="s">
        <v>30</v>
      </c>
      <c r="B12" s="140" t="s">
        <v>348</v>
      </c>
      <c r="C12" s="91"/>
      <c r="D12" s="91"/>
      <c r="E12" s="91"/>
      <c r="F12" s="91"/>
      <c r="G12" s="91"/>
      <c r="H12" s="92"/>
      <c r="I12" s="18"/>
      <c r="J12" s="18"/>
      <c r="K12" s="18"/>
      <c r="L12" s="18"/>
      <c r="M12" s="18"/>
      <c r="N12" s="18"/>
      <c r="O12" s="18"/>
      <c r="P12" s="18"/>
      <c r="Q12" s="18"/>
      <c r="R12" s="18"/>
      <c r="S12" s="18"/>
      <c r="T12" s="18"/>
      <c r="U12" s="18"/>
      <c r="V12" s="18"/>
      <c r="W12" s="18"/>
      <c r="X12" s="18"/>
      <c r="Y12" s="18"/>
      <c r="Z12" s="18"/>
    </row>
    <row r="13" spans="1:26" ht="29.25" customHeight="1" x14ac:dyDescent="0.2">
      <c r="A13" s="130" t="s">
        <v>41</v>
      </c>
      <c r="B13" s="131" t="s">
        <v>349</v>
      </c>
      <c r="C13" s="22" t="s">
        <v>47</v>
      </c>
      <c r="D13" s="141"/>
      <c r="E13" s="91"/>
      <c r="F13" s="91"/>
      <c r="G13" s="91"/>
      <c r="H13" s="178"/>
      <c r="I13" s="18"/>
      <c r="J13" s="18"/>
      <c r="K13" s="18"/>
      <c r="L13" s="18"/>
      <c r="M13" s="18"/>
      <c r="N13" s="18"/>
      <c r="O13" s="18"/>
      <c r="P13" s="18"/>
      <c r="Q13" s="18"/>
      <c r="R13" s="18"/>
      <c r="S13" s="18"/>
      <c r="T13" s="18"/>
      <c r="U13" s="18"/>
      <c r="V13" s="18"/>
      <c r="W13" s="18"/>
      <c r="X13" s="18"/>
      <c r="Y13" s="18"/>
      <c r="Z13" s="18"/>
    </row>
    <row r="14" spans="1:26" ht="28.5" customHeight="1" x14ac:dyDescent="0.2">
      <c r="A14" s="95"/>
      <c r="B14" s="95"/>
      <c r="C14" s="22" t="s">
        <v>49</v>
      </c>
      <c r="D14" s="141"/>
      <c r="E14" s="91"/>
      <c r="F14" s="91"/>
      <c r="G14" s="91"/>
      <c r="H14" s="92"/>
      <c r="I14" s="18"/>
      <c r="J14" s="18"/>
      <c r="K14" s="18"/>
      <c r="L14" s="18"/>
      <c r="M14" s="18"/>
      <c r="N14" s="18"/>
      <c r="O14" s="18"/>
      <c r="P14" s="18"/>
      <c r="Q14" s="18"/>
      <c r="R14" s="18"/>
      <c r="S14" s="18"/>
      <c r="T14" s="18"/>
      <c r="U14" s="18"/>
      <c r="V14" s="18"/>
      <c r="W14" s="18"/>
      <c r="X14" s="18"/>
      <c r="Y14" s="18"/>
      <c r="Z14" s="18"/>
    </row>
    <row r="15" spans="1:26" ht="28.5" customHeight="1" x14ac:dyDescent="0.2">
      <c r="A15" s="95"/>
      <c r="B15" s="95"/>
      <c r="C15" s="22" t="s">
        <v>52</v>
      </c>
      <c r="D15" s="142"/>
      <c r="E15" s="91"/>
      <c r="F15" s="91"/>
      <c r="G15" s="91"/>
      <c r="H15" s="92"/>
      <c r="I15" s="18"/>
      <c r="J15" s="18"/>
      <c r="K15" s="18"/>
      <c r="L15" s="18"/>
      <c r="M15" s="18"/>
      <c r="N15" s="18"/>
      <c r="O15" s="18"/>
      <c r="P15" s="18"/>
      <c r="Q15" s="18"/>
      <c r="R15" s="18"/>
      <c r="S15" s="18"/>
      <c r="T15" s="18"/>
      <c r="U15" s="18"/>
      <c r="V15" s="18"/>
      <c r="W15" s="18"/>
      <c r="X15" s="18"/>
      <c r="Y15" s="18"/>
      <c r="Z15" s="18"/>
    </row>
    <row r="16" spans="1:26" ht="28.5" customHeight="1" x14ac:dyDescent="0.2">
      <c r="A16" s="95"/>
      <c r="B16" s="95"/>
      <c r="C16" s="22" t="s">
        <v>55</v>
      </c>
      <c r="D16" s="142"/>
      <c r="E16" s="91"/>
      <c r="F16" s="91"/>
      <c r="G16" s="91"/>
      <c r="H16" s="92"/>
      <c r="I16" s="18"/>
      <c r="J16" s="18"/>
      <c r="K16" s="18"/>
      <c r="L16" s="18"/>
      <c r="M16" s="18"/>
      <c r="N16" s="18"/>
      <c r="O16" s="18"/>
      <c r="P16" s="18"/>
      <c r="Q16" s="18"/>
      <c r="R16" s="18"/>
      <c r="S16" s="18"/>
      <c r="T16" s="18"/>
      <c r="U16" s="18"/>
      <c r="V16" s="18"/>
      <c r="W16" s="18"/>
      <c r="X16" s="18"/>
      <c r="Y16" s="18"/>
      <c r="Z16" s="18"/>
    </row>
    <row r="17" spans="1:26" ht="28.5" customHeight="1" x14ac:dyDescent="0.2">
      <c r="A17" s="95"/>
      <c r="B17" s="97"/>
      <c r="C17" s="22" t="s">
        <v>57</v>
      </c>
      <c r="D17" s="142"/>
      <c r="E17" s="91"/>
      <c r="F17" s="91"/>
      <c r="G17" s="91"/>
      <c r="H17" s="92"/>
      <c r="I17" s="18"/>
      <c r="J17" s="18"/>
      <c r="K17" s="18"/>
      <c r="L17" s="18"/>
      <c r="M17" s="18"/>
      <c r="N17" s="18"/>
      <c r="O17" s="18"/>
      <c r="P17" s="18"/>
      <c r="Q17" s="18"/>
      <c r="R17" s="18"/>
      <c r="S17" s="18"/>
      <c r="T17" s="18"/>
      <c r="U17" s="18"/>
      <c r="V17" s="18"/>
      <c r="W17" s="18"/>
      <c r="X17" s="18"/>
      <c r="Y17" s="18"/>
      <c r="Z17" s="18"/>
    </row>
    <row r="18" spans="1:26" ht="28.5" customHeight="1" x14ac:dyDescent="0.2">
      <c r="A18" s="95"/>
      <c r="B18" s="131" t="s">
        <v>350</v>
      </c>
      <c r="C18" s="22" t="s">
        <v>61</v>
      </c>
      <c r="D18" s="142"/>
      <c r="E18" s="91"/>
      <c r="F18" s="91"/>
      <c r="G18" s="91"/>
      <c r="H18" s="92"/>
      <c r="I18" s="18"/>
      <c r="J18" s="18"/>
      <c r="K18" s="18"/>
      <c r="L18" s="18"/>
      <c r="M18" s="18"/>
      <c r="N18" s="18"/>
      <c r="O18" s="18"/>
      <c r="P18" s="18"/>
      <c r="Q18" s="18"/>
      <c r="R18" s="18"/>
      <c r="S18" s="18"/>
      <c r="T18" s="18"/>
      <c r="U18" s="18"/>
      <c r="V18" s="18"/>
      <c r="W18" s="18"/>
      <c r="X18" s="18"/>
      <c r="Y18" s="18"/>
      <c r="Z18" s="18"/>
    </row>
    <row r="19" spans="1:26" ht="28.5" customHeight="1" x14ac:dyDescent="0.2">
      <c r="A19" s="95"/>
      <c r="B19" s="95"/>
      <c r="C19" s="22" t="s">
        <v>64</v>
      </c>
      <c r="D19" s="142"/>
      <c r="E19" s="91"/>
      <c r="F19" s="91"/>
      <c r="G19" s="91"/>
      <c r="H19" s="92"/>
      <c r="I19" s="18"/>
      <c r="J19" s="18"/>
      <c r="K19" s="18"/>
      <c r="L19" s="18"/>
      <c r="M19" s="18"/>
      <c r="N19" s="18"/>
      <c r="O19" s="18"/>
      <c r="P19" s="18"/>
      <c r="Q19" s="18"/>
      <c r="R19" s="18"/>
      <c r="S19" s="18"/>
      <c r="T19" s="18"/>
      <c r="U19" s="18"/>
      <c r="V19" s="18"/>
      <c r="W19" s="18"/>
      <c r="X19" s="18"/>
      <c r="Y19" s="18"/>
      <c r="Z19" s="18"/>
    </row>
    <row r="20" spans="1:26" ht="28.5" customHeight="1" x14ac:dyDescent="0.2">
      <c r="A20" s="95"/>
      <c r="B20" s="95"/>
      <c r="C20" s="22" t="s">
        <v>66</v>
      </c>
      <c r="D20" s="142"/>
      <c r="E20" s="91"/>
      <c r="F20" s="91"/>
      <c r="G20" s="91"/>
      <c r="H20" s="92"/>
      <c r="I20" s="18"/>
      <c r="J20" s="18"/>
      <c r="K20" s="18"/>
      <c r="L20" s="18"/>
      <c r="M20" s="18"/>
      <c r="N20" s="18"/>
      <c r="O20" s="18"/>
      <c r="P20" s="18"/>
      <c r="Q20" s="18"/>
      <c r="R20" s="18"/>
      <c r="S20" s="18"/>
      <c r="T20" s="18"/>
      <c r="U20" s="18"/>
      <c r="V20" s="18"/>
      <c r="W20" s="18"/>
      <c r="X20" s="18"/>
      <c r="Y20" s="18"/>
      <c r="Z20" s="18"/>
    </row>
    <row r="21" spans="1:26" ht="28.5" customHeight="1" x14ac:dyDescent="0.2">
      <c r="A21" s="95"/>
      <c r="B21" s="95"/>
      <c r="C21" s="22" t="s">
        <v>69</v>
      </c>
      <c r="D21" s="142"/>
      <c r="E21" s="91"/>
      <c r="F21" s="91"/>
      <c r="G21" s="91"/>
      <c r="H21" s="92"/>
      <c r="I21" s="18"/>
      <c r="J21" s="18"/>
      <c r="K21" s="18"/>
      <c r="L21" s="18"/>
      <c r="M21" s="18"/>
      <c r="N21" s="18"/>
      <c r="O21" s="18"/>
      <c r="P21" s="18"/>
      <c r="Q21" s="18"/>
      <c r="R21" s="18"/>
      <c r="S21" s="18"/>
      <c r="T21" s="18"/>
      <c r="U21" s="18"/>
      <c r="V21" s="18"/>
      <c r="W21" s="18"/>
      <c r="X21" s="18"/>
      <c r="Y21" s="18"/>
      <c r="Z21" s="18"/>
    </row>
    <row r="22" spans="1:26" ht="28.5" customHeight="1" x14ac:dyDescent="0.2">
      <c r="A22" s="95"/>
      <c r="B22" s="97"/>
      <c r="C22" s="22" t="s">
        <v>72</v>
      </c>
      <c r="D22" s="142"/>
      <c r="E22" s="91"/>
      <c r="F22" s="91"/>
      <c r="G22" s="91"/>
      <c r="H22" s="92"/>
      <c r="I22" s="18"/>
      <c r="J22" s="18"/>
      <c r="K22" s="18"/>
      <c r="L22" s="18"/>
      <c r="M22" s="18"/>
      <c r="N22" s="18"/>
      <c r="O22" s="18"/>
      <c r="P22" s="18"/>
      <c r="Q22" s="18"/>
      <c r="R22" s="18"/>
      <c r="S22" s="18"/>
      <c r="T22" s="18"/>
      <c r="U22" s="18"/>
      <c r="V22" s="18"/>
      <c r="W22" s="18"/>
      <c r="X22" s="18"/>
      <c r="Y22" s="18"/>
      <c r="Z22" s="18"/>
    </row>
    <row r="23" spans="1:26" ht="28.5" customHeight="1" x14ac:dyDescent="0.2">
      <c r="A23" s="95"/>
      <c r="B23" s="131" t="s">
        <v>351</v>
      </c>
      <c r="C23" s="22" t="s">
        <v>76</v>
      </c>
      <c r="D23" s="142"/>
      <c r="E23" s="91"/>
      <c r="F23" s="91"/>
      <c r="G23" s="91"/>
      <c r="H23" s="92"/>
      <c r="I23" s="18"/>
      <c r="J23" s="18"/>
      <c r="K23" s="18"/>
      <c r="L23" s="18"/>
      <c r="M23" s="18"/>
      <c r="N23" s="18"/>
      <c r="O23" s="18"/>
      <c r="P23" s="18"/>
      <c r="Q23" s="18"/>
      <c r="R23" s="18"/>
      <c r="S23" s="18"/>
      <c r="T23" s="18"/>
      <c r="U23" s="18"/>
      <c r="V23" s="18"/>
      <c r="W23" s="18"/>
      <c r="X23" s="18"/>
      <c r="Y23" s="18"/>
      <c r="Z23" s="18"/>
    </row>
    <row r="24" spans="1:26" ht="28.5" customHeight="1" x14ac:dyDescent="0.2">
      <c r="A24" s="95"/>
      <c r="B24" s="95"/>
      <c r="C24" s="22" t="s">
        <v>78</v>
      </c>
      <c r="D24" s="142"/>
      <c r="E24" s="91"/>
      <c r="F24" s="91"/>
      <c r="G24" s="91"/>
      <c r="H24" s="92"/>
      <c r="I24" s="18"/>
      <c r="J24" s="18"/>
      <c r="K24" s="18"/>
      <c r="L24" s="18"/>
      <c r="M24" s="18"/>
      <c r="N24" s="18"/>
      <c r="O24" s="18"/>
      <c r="P24" s="18"/>
      <c r="Q24" s="18"/>
      <c r="R24" s="18"/>
      <c r="S24" s="18"/>
      <c r="T24" s="18"/>
      <c r="U24" s="18"/>
      <c r="V24" s="18"/>
      <c r="W24" s="18"/>
      <c r="X24" s="18"/>
      <c r="Y24" s="18"/>
      <c r="Z24" s="18"/>
    </row>
    <row r="25" spans="1:26" ht="28.5" customHeight="1" x14ac:dyDescent="0.2">
      <c r="A25" s="95"/>
      <c r="B25" s="95"/>
      <c r="C25" s="22" t="s">
        <v>81</v>
      </c>
      <c r="D25" s="142"/>
      <c r="E25" s="91"/>
      <c r="F25" s="91"/>
      <c r="G25" s="91"/>
      <c r="H25" s="92"/>
      <c r="I25" s="18"/>
      <c r="J25" s="18"/>
      <c r="K25" s="18"/>
      <c r="L25" s="18"/>
      <c r="M25" s="18"/>
      <c r="N25" s="18"/>
      <c r="O25" s="18"/>
      <c r="P25" s="18"/>
      <c r="Q25" s="18"/>
      <c r="R25" s="18"/>
      <c r="S25" s="18"/>
      <c r="T25" s="18"/>
      <c r="U25" s="18"/>
      <c r="V25" s="18"/>
      <c r="W25" s="18"/>
      <c r="X25" s="18"/>
      <c r="Y25" s="18"/>
      <c r="Z25" s="18"/>
    </row>
    <row r="26" spans="1:26" ht="28.5" customHeight="1" x14ac:dyDescent="0.2">
      <c r="A26" s="95"/>
      <c r="B26" s="95"/>
      <c r="C26" s="22" t="s">
        <v>85</v>
      </c>
      <c r="D26" s="142"/>
      <c r="E26" s="91"/>
      <c r="F26" s="91"/>
      <c r="G26" s="91"/>
      <c r="H26" s="92"/>
      <c r="I26" s="18"/>
      <c r="J26" s="18"/>
      <c r="K26" s="18"/>
      <c r="L26" s="18"/>
      <c r="M26" s="18"/>
      <c r="N26" s="18"/>
      <c r="O26" s="18"/>
      <c r="P26" s="18"/>
      <c r="Q26" s="18"/>
      <c r="R26" s="18"/>
      <c r="S26" s="18"/>
      <c r="T26" s="18"/>
      <c r="U26" s="18"/>
      <c r="V26" s="18"/>
      <c r="W26" s="18"/>
      <c r="X26" s="18"/>
      <c r="Y26" s="18"/>
      <c r="Z26" s="18"/>
    </row>
    <row r="27" spans="1:26" ht="28.5" customHeight="1" x14ac:dyDescent="0.2">
      <c r="A27" s="95"/>
      <c r="B27" s="97"/>
      <c r="C27" s="22" t="s">
        <v>87</v>
      </c>
      <c r="D27" s="142"/>
      <c r="E27" s="91"/>
      <c r="F27" s="91"/>
      <c r="G27" s="91"/>
      <c r="H27" s="92"/>
      <c r="I27" s="18"/>
      <c r="J27" s="18"/>
      <c r="K27" s="18"/>
      <c r="L27" s="18"/>
      <c r="M27" s="18"/>
      <c r="N27" s="18"/>
      <c r="O27" s="18"/>
      <c r="P27" s="18"/>
      <c r="Q27" s="18"/>
      <c r="R27" s="18"/>
      <c r="S27" s="18"/>
      <c r="T27" s="18"/>
      <c r="U27" s="18"/>
      <c r="V27" s="18"/>
      <c r="W27" s="18"/>
      <c r="X27" s="18"/>
      <c r="Y27" s="18"/>
      <c r="Z27" s="18"/>
    </row>
    <row r="28" spans="1:26" ht="28.5" customHeight="1" x14ac:dyDescent="0.2">
      <c r="A28" s="95"/>
      <c r="B28" s="131" t="s">
        <v>352</v>
      </c>
      <c r="C28" s="22" t="s">
        <v>92</v>
      </c>
      <c r="D28" s="142"/>
      <c r="E28" s="91"/>
      <c r="F28" s="91"/>
      <c r="G28" s="91"/>
      <c r="H28" s="92"/>
      <c r="I28" s="18"/>
      <c r="J28" s="18"/>
      <c r="K28" s="18"/>
      <c r="L28" s="18"/>
      <c r="M28" s="18"/>
      <c r="N28" s="18"/>
      <c r="O28" s="18"/>
      <c r="P28" s="18"/>
      <c r="Q28" s="18"/>
      <c r="R28" s="18"/>
      <c r="S28" s="18"/>
      <c r="T28" s="18"/>
      <c r="U28" s="18"/>
      <c r="V28" s="18"/>
      <c r="W28" s="18"/>
      <c r="X28" s="18"/>
      <c r="Y28" s="18"/>
      <c r="Z28" s="18"/>
    </row>
    <row r="29" spans="1:26" ht="28.5" customHeight="1" x14ac:dyDescent="0.2">
      <c r="A29" s="95"/>
      <c r="B29" s="95"/>
      <c r="C29" s="22" t="s">
        <v>95</v>
      </c>
      <c r="D29" s="142"/>
      <c r="E29" s="91"/>
      <c r="F29" s="91"/>
      <c r="G29" s="91"/>
      <c r="H29" s="92"/>
      <c r="I29" s="18"/>
      <c r="J29" s="18"/>
      <c r="K29" s="18"/>
      <c r="L29" s="18"/>
      <c r="M29" s="18"/>
      <c r="N29" s="18"/>
      <c r="O29" s="18"/>
      <c r="P29" s="18"/>
      <c r="Q29" s="18"/>
      <c r="R29" s="18"/>
      <c r="S29" s="18"/>
      <c r="T29" s="18"/>
      <c r="U29" s="18"/>
      <c r="V29" s="18"/>
      <c r="W29" s="18"/>
      <c r="X29" s="18"/>
      <c r="Y29" s="18"/>
      <c r="Z29" s="18"/>
    </row>
    <row r="30" spans="1:26" ht="28.5" customHeight="1" x14ac:dyDescent="0.2">
      <c r="A30" s="95"/>
      <c r="B30" s="95"/>
      <c r="C30" s="22" t="s">
        <v>98</v>
      </c>
      <c r="D30" s="142"/>
      <c r="E30" s="91"/>
      <c r="F30" s="91"/>
      <c r="G30" s="91"/>
      <c r="H30" s="92"/>
      <c r="I30" s="18"/>
      <c r="J30" s="18"/>
      <c r="K30" s="18"/>
      <c r="L30" s="18"/>
      <c r="M30" s="18"/>
      <c r="N30" s="18"/>
      <c r="O30" s="18"/>
      <c r="P30" s="18"/>
      <c r="Q30" s="18"/>
      <c r="R30" s="18"/>
      <c r="S30" s="18"/>
      <c r="T30" s="18"/>
      <c r="U30" s="18"/>
      <c r="V30" s="18"/>
      <c r="W30" s="18"/>
      <c r="X30" s="18"/>
      <c r="Y30" s="18"/>
      <c r="Z30" s="18"/>
    </row>
    <row r="31" spans="1:26" ht="28.5" customHeight="1" x14ac:dyDescent="0.2">
      <c r="A31" s="95"/>
      <c r="B31" s="95"/>
      <c r="C31" s="22" t="s">
        <v>101</v>
      </c>
      <c r="D31" s="142"/>
      <c r="E31" s="91"/>
      <c r="F31" s="91"/>
      <c r="G31" s="91"/>
      <c r="H31" s="92"/>
      <c r="I31" s="18"/>
      <c r="J31" s="18"/>
      <c r="K31" s="18"/>
      <c r="L31" s="18"/>
      <c r="M31" s="18"/>
      <c r="N31" s="18"/>
      <c r="O31" s="18"/>
      <c r="P31" s="18"/>
      <c r="Q31" s="18"/>
      <c r="R31" s="18"/>
      <c r="S31" s="18"/>
      <c r="T31" s="18"/>
      <c r="U31" s="18"/>
      <c r="V31" s="18"/>
      <c r="W31" s="18"/>
      <c r="X31" s="18"/>
      <c r="Y31" s="18"/>
      <c r="Z31" s="18"/>
    </row>
    <row r="32" spans="1:26" ht="28.5" customHeight="1" x14ac:dyDescent="0.2">
      <c r="A32" s="95"/>
      <c r="B32" s="97"/>
      <c r="C32" s="22" t="s">
        <v>104</v>
      </c>
      <c r="D32" s="142"/>
      <c r="E32" s="91"/>
      <c r="F32" s="91"/>
      <c r="G32" s="91"/>
      <c r="H32" s="92"/>
      <c r="I32" s="18"/>
      <c r="J32" s="18"/>
      <c r="K32" s="18"/>
      <c r="L32" s="18"/>
      <c r="M32" s="18"/>
      <c r="N32" s="18"/>
      <c r="O32" s="18"/>
      <c r="P32" s="18"/>
      <c r="Q32" s="18"/>
      <c r="R32" s="18"/>
      <c r="S32" s="18"/>
      <c r="T32" s="18"/>
      <c r="U32" s="18"/>
      <c r="V32" s="18"/>
      <c r="W32" s="18"/>
      <c r="X32" s="18"/>
      <c r="Y32" s="18"/>
      <c r="Z32" s="18"/>
    </row>
    <row r="33" spans="1:26" ht="28.5" customHeight="1" x14ac:dyDescent="0.2">
      <c r="A33" s="95"/>
      <c r="B33" s="131" t="s">
        <v>353</v>
      </c>
      <c r="C33" s="22" t="s">
        <v>108</v>
      </c>
      <c r="D33" s="142"/>
      <c r="E33" s="91"/>
      <c r="F33" s="91"/>
      <c r="G33" s="91"/>
      <c r="H33" s="92"/>
      <c r="I33" s="18"/>
      <c r="J33" s="18"/>
      <c r="K33" s="18"/>
      <c r="L33" s="18"/>
      <c r="M33" s="18"/>
      <c r="N33" s="18"/>
      <c r="O33" s="18"/>
      <c r="P33" s="18"/>
      <c r="Q33" s="18"/>
      <c r="R33" s="18"/>
      <c r="S33" s="18"/>
      <c r="T33" s="18"/>
      <c r="U33" s="18"/>
      <c r="V33" s="18"/>
      <c r="W33" s="18"/>
      <c r="X33" s="18"/>
      <c r="Y33" s="18"/>
      <c r="Z33" s="18"/>
    </row>
    <row r="34" spans="1:26" ht="28.5" customHeight="1" x14ac:dyDescent="0.2">
      <c r="A34" s="95"/>
      <c r="B34" s="95"/>
      <c r="C34" s="22" t="s">
        <v>111</v>
      </c>
      <c r="D34" s="142"/>
      <c r="E34" s="91"/>
      <c r="F34" s="91"/>
      <c r="G34" s="91"/>
      <c r="H34" s="92"/>
      <c r="I34" s="18"/>
      <c r="J34" s="18"/>
      <c r="K34" s="18"/>
      <c r="L34" s="18"/>
      <c r="M34" s="18"/>
      <c r="N34" s="18"/>
      <c r="O34" s="18"/>
      <c r="P34" s="18"/>
      <c r="Q34" s="18"/>
      <c r="R34" s="18"/>
      <c r="S34" s="18"/>
      <c r="T34" s="18"/>
      <c r="U34" s="18"/>
      <c r="V34" s="18"/>
      <c r="W34" s="18"/>
      <c r="X34" s="18"/>
      <c r="Y34" s="18"/>
      <c r="Z34" s="18"/>
    </row>
    <row r="35" spans="1:26" ht="28.5" customHeight="1" x14ac:dyDescent="0.2">
      <c r="A35" s="95"/>
      <c r="B35" s="95"/>
      <c r="C35" s="22" t="s">
        <v>113</v>
      </c>
      <c r="D35" s="142"/>
      <c r="E35" s="91"/>
      <c r="F35" s="91"/>
      <c r="G35" s="91"/>
      <c r="H35" s="92"/>
      <c r="I35" s="18"/>
      <c r="J35" s="18"/>
      <c r="K35" s="18"/>
      <c r="L35" s="18"/>
      <c r="M35" s="18"/>
      <c r="N35" s="18"/>
      <c r="O35" s="18"/>
      <c r="P35" s="18"/>
      <c r="Q35" s="18"/>
      <c r="R35" s="18"/>
      <c r="S35" s="18"/>
      <c r="T35" s="18"/>
      <c r="U35" s="18"/>
      <c r="V35" s="18"/>
      <c r="W35" s="18"/>
      <c r="X35" s="18"/>
      <c r="Y35" s="18"/>
      <c r="Z35" s="18"/>
    </row>
    <row r="36" spans="1:26" ht="28.5" customHeight="1" x14ac:dyDescent="0.2">
      <c r="A36" s="95"/>
      <c r="B36" s="95"/>
      <c r="C36" s="22" t="s">
        <v>116</v>
      </c>
      <c r="D36" s="142"/>
      <c r="E36" s="91"/>
      <c r="F36" s="91"/>
      <c r="G36" s="91"/>
      <c r="H36" s="92"/>
      <c r="I36" s="18"/>
      <c r="J36" s="18"/>
      <c r="K36" s="18"/>
      <c r="L36" s="18"/>
      <c r="M36" s="18"/>
      <c r="N36" s="18"/>
      <c r="O36" s="18"/>
      <c r="P36" s="18"/>
      <c r="Q36" s="18"/>
      <c r="R36" s="18"/>
      <c r="S36" s="18"/>
      <c r="T36" s="18"/>
      <c r="U36" s="18"/>
      <c r="V36" s="18"/>
      <c r="W36" s="18"/>
      <c r="X36" s="18"/>
      <c r="Y36" s="18"/>
      <c r="Z36" s="18"/>
    </row>
    <row r="37" spans="1:26" ht="28.5" customHeight="1" x14ac:dyDescent="0.2">
      <c r="A37" s="96"/>
      <c r="B37" s="97"/>
      <c r="C37" s="22" t="s">
        <v>119</v>
      </c>
      <c r="D37" s="142"/>
      <c r="E37" s="91"/>
      <c r="F37" s="91"/>
      <c r="G37" s="91"/>
      <c r="H37" s="92"/>
      <c r="I37" s="18"/>
      <c r="J37" s="18"/>
      <c r="K37" s="18"/>
      <c r="L37" s="18"/>
      <c r="M37" s="18"/>
      <c r="N37" s="18"/>
      <c r="O37" s="18"/>
      <c r="P37" s="18"/>
      <c r="Q37" s="18"/>
      <c r="R37" s="18"/>
      <c r="S37" s="18"/>
      <c r="T37" s="18"/>
      <c r="U37" s="18"/>
      <c r="V37" s="18"/>
      <c r="W37" s="18"/>
      <c r="X37" s="18"/>
      <c r="Y37" s="18"/>
      <c r="Z37" s="18"/>
    </row>
    <row r="38" spans="1:26" ht="53.25" customHeight="1" x14ac:dyDescent="0.2">
      <c r="A38" s="26" t="s">
        <v>122</v>
      </c>
      <c r="B38" s="143">
        <v>0</v>
      </c>
      <c r="C38" s="91"/>
      <c r="D38" s="91"/>
      <c r="E38" s="91"/>
      <c r="F38" s="91"/>
      <c r="G38" s="91"/>
      <c r="H38" s="92"/>
      <c r="I38" s="18"/>
      <c r="J38" s="18"/>
      <c r="K38" s="18"/>
      <c r="L38" s="18"/>
      <c r="M38" s="18"/>
      <c r="N38" s="18"/>
      <c r="O38" s="18"/>
      <c r="P38" s="18"/>
      <c r="Q38" s="18"/>
      <c r="R38" s="18"/>
      <c r="S38" s="18"/>
      <c r="T38" s="18"/>
      <c r="U38" s="18"/>
      <c r="V38" s="18"/>
      <c r="W38" s="18"/>
      <c r="X38" s="18"/>
      <c r="Y38" s="18"/>
      <c r="Z38" s="18"/>
    </row>
    <row r="39" spans="1:26" ht="32.25" customHeight="1" x14ac:dyDescent="0.2">
      <c r="A39" s="156" t="s">
        <v>126</v>
      </c>
      <c r="B39" s="27" t="s">
        <v>128</v>
      </c>
      <c r="C39" s="144" t="s">
        <v>268</v>
      </c>
      <c r="D39" s="91"/>
      <c r="E39" s="91"/>
      <c r="F39" s="91"/>
      <c r="G39" s="91"/>
      <c r="H39" s="92"/>
      <c r="I39" s="18"/>
      <c r="J39" s="18"/>
      <c r="K39" s="18"/>
      <c r="L39" s="18"/>
      <c r="M39" s="18"/>
      <c r="N39" s="18"/>
      <c r="O39" s="18"/>
      <c r="P39" s="18"/>
      <c r="Q39" s="18"/>
      <c r="R39" s="18"/>
      <c r="S39" s="18"/>
      <c r="T39" s="18"/>
      <c r="U39" s="18"/>
      <c r="V39" s="18"/>
      <c r="W39" s="18"/>
      <c r="X39" s="18"/>
      <c r="Y39" s="18"/>
      <c r="Z39" s="18"/>
    </row>
    <row r="40" spans="1:26" ht="32.25" customHeight="1" x14ac:dyDescent="0.2">
      <c r="A40" s="95"/>
      <c r="B40" s="27" t="s">
        <v>131</v>
      </c>
      <c r="C40" s="144" t="s">
        <v>355</v>
      </c>
      <c r="D40" s="91"/>
      <c r="E40" s="91"/>
      <c r="F40" s="91"/>
      <c r="G40" s="91"/>
      <c r="H40" s="92"/>
      <c r="I40" s="18"/>
      <c r="J40" s="18"/>
      <c r="K40" s="18"/>
      <c r="L40" s="18"/>
      <c r="M40" s="18"/>
      <c r="N40" s="18"/>
      <c r="O40" s="18"/>
      <c r="P40" s="18"/>
      <c r="Q40" s="18"/>
      <c r="R40" s="18"/>
      <c r="S40" s="18"/>
      <c r="T40" s="18"/>
      <c r="U40" s="18"/>
      <c r="V40" s="18"/>
      <c r="W40" s="18"/>
      <c r="X40" s="18"/>
      <c r="Y40" s="18"/>
      <c r="Z40" s="18"/>
    </row>
    <row r="41" spans="1:26" ht="32.25" customHeight="1" x14ac:dyDescent="0.2">
      <c r="A41" s="97"/>
      <c r="B41" s="27" t="s">
        <v>135</v>
      </c>
      <c r="C41" s="152" t="s">
        <v>356</v>
      </c>
      <c r="D41" s="91"/>
      <c r="E41" s="91"/>
      <c r="F41" s="91"/>
      <c r="G41" s="91"/>
      <c r="H41" s="92"/>
      <c r="I41" s="18"/>
      <c r="J41" s="18"/>
      <c r="K41" s="18"/>
      <c r="L41" s="18"/>
      <c r="M41" s="18"/>
      <c r="N41" s="18"/>
      <c r="O41" s="18"/>
      <c r="P41" s="18"/>
      <c r="Q41" s="18"/>
      <c r="R41" s="18"/>
      <c r="S41" s="18"/>
      <c r="T41" s="18"/>
      <c r="U41" s="18"/>
      <c r="V41" s="18"/>
      <c r="W41" s="18"/>
      <c r="X41" s="18"/>
      <c r="Y41" s="18"/>
      <c r="Z41" s="18"/>
    </row>
    <row r="42" spans="1:26" ht="38.25" customHeight="1" x14ac:dyDescent="0.2">
      <c r="A42" s="26" t="s">
        <v>140</v>
      </c>
      <c r="B42" s="152"/>
      <c r="C42" s="91"/>
      <c r="D42" s="91"/>
      <c r="E42" s="91"/>
      <c r="F42" s="91"/>
      <c r="G42" s="91"/>
      <c r="H42" s="92"/>
      <c r="I42" s="18"/>
      <c r="J42" s="18"/>
      <c r="K42" s="18"/>
      <c r="L42" s="18"/>
      <c r="M42" s="18"/>
      <c r="N42" s="18"/>
      <c r="O42" s="18"/>
      <c r="P42" s="18"/>
      <c r="Q42" s="18"/>
      <c r="R42" s="18"/>
      <c r="S42" s="18"/>
      <c r="T42" s="18"/>
      <c r="U42" s="18"/>
      <c r="V42" s="18"/>
      <c r="W42" s="18"/>
      <c r="X42" s="18"/>
      <c r="Y42" s="18"/>
      <c r="Z42" s="18"/>
    </row>
    <row r="43" spans="1:26" ht="27.75" customHeight="1" x14ac:dyDescent="0.2">
      <c r="A43" s="30" t="s">
        <v>144</v>
      </c>
      <c r="B43" s="153"/>
      <c r="C43" s="91"/>
      <c r="D43" s="91"/>
      <c r="E43" s="91"/>
      <c r="F43" s="91"/>
      <c r="G43" s="91"/>
      <c r="H43" s="92"/>
      <c r="I43" s="18"/>
      <c r="J43" s="18"/>
      <c r="K43" s="18"/>
      <c r="L43" s="18"/>
      <c r="M43" s="18"/>
      <c r="N43" s="18"/>
      <c r="O43" s="18"/>
      <c r="P43" s="18"/>
      <c r="Q43" s="18"/>
      <c r="R43" s="18"/>
      <c r="S43" s="18"/>
      <c r="T43" s="18"/>
      <c r="U43" s="18"/>
      <c r="V43" s="18"/>
      <c r="W43" s="18"/>
      <c r="X43" s="18"/>
      <c r="Y43" s="18"/>
      <c r="Z43" s="18"/>
    </row>
    <row r="44" spans="1:26" ht="15.75" customHeight="1" x14ac:dyDescent="0.2">
      <c r="A44" s="30" t="s">
        <v>147</v>
      </c>
      <c r="B44" s="153"/>
      <c r="C44" s="91"/>
      <c r="D44" s="91"/>
      <c r="E44" s="91"/>
      <c r="F44" s="91"/>
      <c r="G44" s="91"/>
      <c r="H44" s="92"/>
      <c r="I44" s="18"/>
      <c r="J44" s="18"/>
      <c r="K44" s="18"/>
      <c r="L44" s="18"/>
      <c r="M44" s="18"/>
      <c r="N44" s="18"/>
      <c r="O44" s="18"/>
      <c r="P44" s="18"/>
      <c r="Q44" s="18"/>
      <c r="R44" s="18"/>
      <c r="S44" s="18"/>
      <c r="T44" s="18"/>
      <c r="U44" s="18"/>
      <c r="V44" s="18"/>
      <c r="W44" s="18"/>
      <c r="X44" s="18"/>
      <c r="Y44" s="18"/>
      <c r="Z44" s="18"/>
    </row>
    <row r="45" spans="1:26" ht="15.75" customHeight="1" x14ac:dyDescent="0.2">
      <c r="A45" s="30" t="s">
        <v>150</v>
      </c>
      <c r="B45" s="153"/>
      <c r="C45" s="91"/>
      <c r="D45" s="91"/>
      <c r="E45" s="91"/>
      <c r="F45" s="91"/>
      <c r="G45" s="91"/>
      <c r="H45" s="92"/>
      <c r="I45" s="18"/>
      <c r="J45" s="18"/>
      <c r="K45" s="18"/>
      <c r="L45" s="18"/>
      <c r="M45" s="18"/>
      <c r="N45" s="18"/>
      <c r="O45" s="18"/>
      <c r="P45" s="18"/>
      <c r="Q45" s="18"/>
      <c r="R45" s="18"/>
      <c r="S45" s="18"/>
      <c r="T45" s="18"/>
      <c r="U45" s="18"/>
      <c r="V45" s="18"/>
      <c r="W45" s="18"/>
      <c r="X45" s="18"/>
      <c r="Y45" s="18"/>
      <c r="Z45" s="18"/>
    </row>
    <row r="46" spans="1:26" ht="60" customHeight="1" x14ac:dyDescent="0.2">
      <c r="A46" s="154" t="s">
        <v>152</v>
      </c>
      <c r="B46" s="32" t="s">
        <v>153</v>
      </c>
      <c r="C46" s="145"/>
      <c r="D46" s="91"/>
      <c r="E46" s="91"/>
      <c r="F46" s="91"/>
      <c r="G46" s="91"/>
      <c r="H46" s="92"/>
      <c r="I46" s="18"/>
      <c r="J46" s="18"/>
      <c r="K46" s="18"/>
      <c r="L46" s="18"/>
      <c r="M46" s="18"/>
      <c r="N46" s="18"/>
      <c r="O46" s="18"/>
      <c r="P46" s="18"/>
      <c r="Q46" s="18"/>
      <c r="R46" s="18"/>
      <c r="S46" s="18"/>
      <c r="T46" s="18"/>
      <c r="U46" s="18"/>
      <c r="V46" s="18"/>
      <c r="W46" s="18"/>
      <c r="X46" s="18"/>
      <c r="Y46" s="18"/>
      <c r="Z46" s="18"/>
    </row>
    <row r="47" spans="1:26" ht="64.5" customHeight="1" x14ac:dyDescent="0.2">
      <c r="A47" s="95"/>
      <c r="B47" s="32" t="s">
        <v>154</v>
      </c>
      <c r="C47" s="145"/>
      <c r="D47" s="91"/>
      <c r="E47" s="91"/>
      <c r="F47" s="91"/>
      <c r="G47" s="91"/>
      <c r="H47" s="92"/>
      <c r="I47" s="18"/>
      <c r="J47" s="18"/>
      <c r="K47" s="18"/>
      <c r="L47" s="18"/>
      <c r="M47" s="18"/>
      <c r="N47" s="18"/>
      <c r="O47" s="18"/>
      <c r="P47" s="18"/>
      <c r="Q47" s="18"/>
      <c r="R47" s="18"/>
      <c r="S47" s="18"/>
      <c r="T47" s="18"/>
      <c r="U47" s="18"/>
      <c r="V47" s="18"/>
      <c r="W47" s="18"/>
      <c r="X47" s="18"/>
      <c r="Y47" s="18"/>
      <c r="Z47" s="18"/>
    </row>
    <row r="48" spans="1:26" ht="39.75" customHeight="1" x14ac:dyDescent="0.2">
      <c r="A48" s="97"/>
      <c r="B48" s="32" t="s">
        <v>155</v>
      </c>
      <c r="C48" s="145"/>
      <c r="D48" s="91"/>
      <c r="E48" s="91"/>
      <c r="F48" s="91"/>
      <c r="G48" s="91"/>
      <c r="H48" s="92"/>
      <c r="I48" s="18"/>
      <c r="J48" s="18"/>
      <c r="K48" s="18"/>
      <c r="L48" s="18"/>
      <c r="M48" s="18"/>
      <c r="N48" s="18"/>
      <c r="O48" s="18"/>
      <c r="P48" s="18"/>
      <c r="Q48" s="18"/>
      <c r="R48" s="18"/>
      <c r="S48" s="18"/>
      <c r="T48" s="18"/>
      <c r="U48" s="18"/>
      <c r="V48" s="18"/>
      <c r="W48" s="18"/>
      <c r="X48" s="18"/>
      <c r="Y48" s="18"/>
      <c r="Z48" s="18"/>
    </row>
    <row r="49" spans="1:26" ht="27.75" customHeight="1" x14ac:dyDescent="0.2">
      <c r="A49" s="147" t="s">
        <v>182</v>
      </c>
      <c r="B49" s="155"/>
      <c r="C49" s="146" t="s">
        <v>159</v>
      </c>
      <c r="D49" s="92"/>
      <c r="E49" s="147" t="s">
        <v>161</v>
      </c>
      <c r="F49" s="148"/>
      <c r="G49" s="133"/>
      <c r="H49" s="35" t="s">
        <v>164</v>
      </c>
      <c r="I49" s="18"/>
      <c r="J49" s="18"/>
      <c r="K49" s="18"/>
      <c r="L49" s="18"/>
      <c r="M49" s="18"/>
      <c r="N49" s="18"/>
      <c r="O49" s="18"/>
      <c r="P49" s="18"/>
      <c r="Q49" s="18"/>
      <c r="R49" s="18"/>
      <c r="S49" s="18"/>
      <c r="T49" s="18"/>
      <c r="U49" s="18"/>
      <c r="V49" s="18"/>
      <c r="W49" s="18"/>
      <c r="X49" s="18"/>
      <c r="Y49" s="18"/>
      <c r="Z49" s="18"/>
    </row>
    <row r="50" spans="1:26" ht="27.75" customHeight="1" x14ac:dyDescent="0.2">
      <c r="A50" s="97"/>
      <c r="B50" s="97"/>
      <c r="C50" s="149"/>
      <c r="D50" s="92"/>
      <c r="E50" s="97"/>
      <c r="F50" s="114"/>
      <c r="G50" s="134"/>
      <c r="H50" s="76"/>
      <c r="I50" s="18"/>
      <c r="J50" s="18"/>
      <c r="K50" s="18"/>
      <c r="L50" s="18"/>
      <c r="M50" s="18"/>
      <c r="N50" s="18"/>
      <c r="O50" s="18"/>
      <c r="P50" s="18"/>
      <c r="Q50" s="18"/>
      <c r="R50" s="18"/>
      <c r="S50" s="18"/>
      <c r="T50" s="18"/>
      <c r="U50" s="18"/>
      <c r="V50" s="18"/>
      <c r="W50" s="18"/>
      <c r="X50" s="18"/>
      <c r="Y50" s="18"/>
      <c r="Z50" s="18"/>
    </row>
    <row r="51" spans="1:26" ht="16.5" customHeight="1" x14ac:dyDescent="0.2">
      <c r="A51" s="150" t="s">
        <v>166</v>
      </c>
      <c r="B51" s="91"/>
      <c r="C51" s="91"/>
      <c r="D51" s="91"/>
      <c r="E51" s="91"/>
      <c r="F51" s="91"/>
      <c r="G51" s="91"/>
      <c r="H51" s="92"/>
      <c r="I51" s="18"/>
      <c r="J51" s="18"/>
      <c r="K51" s="18"/>
      <c r="L51" s="18"/>
      <c r="M51" s="18"/>
      <c r="N51" s="18"/>
      <c r="O51" s="18"/>
      <c r="P51" s="18"/>
      <c r="Q51" s="18"/>
      <c r="R51" s="18"/>
      <c r="S51" s="18"/>
      <c r="T51" s="18"/>
      <c r="U51" s="18"/>
      <c r="V51" s="18"/>
      <c r="W51" s="18"/>
      <c r="X51" s="18"/>
      <c r="Y51" s="18"/>
      <c r="Z51" s="18"/>
    </row>
    <row r="52" spans="1:26" ht="23.25" customHeight="1" x14ac:dyDescent="0.25">
      <c r="A52" s="35" t="s">
        <v>168</v>
      </c>
      <c r="B52" s="35" t="s">
        <v>169</v>
      </c>
      <c r="C52" s="101" t="s">
        <v>170</v>
      </c>
      <c r="D52" s="91"/>
      <c r="E52" s="91"/>
      <c r="F52" s="92"/>
      <c r="G52" s="35" t="s">
        <v>173</v>
      </c>
      <c r="H52" s="35" t="s">
        <v>174</v>
      </c>
      <c r="I52" s="11"/>
      <c r="J52" s="11"/>
      <c r="K52" s="11"/>
      <c r="L52" s="11"/>
      <c r="M52" s="11"/>
      <c r="N52" s="11"/>
      <c r="O52" s="11"/>
      <c r="P52" s="11"/>
      <c r="Q52" s="11"/>
      <c r="R52" s="11"/>
      <c r="S52" s="11"/>
      <c r="T52" s="11"/>
      <c r="U52" s="11"/>
      <c r="V52" s="11"/>
      <c r="W52" s="11"/>
      <c r="X52" s="11"/>
      <c r="Y52" s="11"/>
      <c r="Z52" s="11"/>
    </row>
    <row r="53" spans="1:26" ht="23.25" customHeight="1" x14ac:dyDescent="0.25">
      <c r="A53" s="40" t="s">
        <v>178</v>
      </c>
      <c r="B53" s="41"/>
      <c r="C53" s="151"/>
      <c r="D53" s="91"/>
      <c r="E53" s="91"/>
      <c r="F53" s="92"/>
      <c r="G53" s="77"/>
      <c r="H53" s="76"/>
      <c r="I53" s="11"/>
      <c r="J53" s="11"/>
      <c r="K53" s="11"/>
      <c r="L53" s="11"/>
      <c r="M53" s="11"/>
      <c r="N53" s="11"/>
      <c r="O53" s="11"/>
      <c r="P53" s="11"/>
      <c r="Q53" s="11"/>
      <c r="R53" s="11"/>
      <c r="S53" s="11"/>
      <c r="T53" s="11"/>
      <c r="U53" s="11"/>
      <c r="V53" s="11"/>
      <c r="W53" s="11"/>
      <c r="X53" s="11"/>
      <c r="Y53" s="11"/>
      <c r="Z53" s="11"/>
    </row>
    <row r="54" spans="1:26" ht="15.75" customHeight="1" x14ac:dyDescent="0.25">
      <c r="A54" s="44"/>
      <c r="B54" s="45"/>
      <c r="C54" s="46"/>
      <c r="D54" s="48"/>
      <c r="E54" s="49"/>
      <c r="F54" s="48"/>
      <c r="G54" s="48"/>
      <c r="H54" s="48"/>
      <c r="I54" s="11"/>
      <c r="J54" s="11"/>
      <c r="K54" s="11"/>
      <c r="L54" s="11"/>
      <c r="M54" s="11"/>
      <c r="N54" s="11"/>
      <c r="O54" s="11"/>
      <c r="P54" s="11"/>
      <c r="Q54" s="11"/>
      <c r="R54" s="11"/>
      <c r="S54" s="11"/>
      <c r="T54" s="11"/>
      <c r="U54" s="11"/>
      <c r="V54" s="11"/>
      <c r="W54" s="11"/>
      <c r="X54" s="11"/>
      <c r="Y54" s="11"/>
      <c r="Z54" s="11"/>
    </row>
    <row r="55" spans="1:26" ht="15.75" customHeight="1" x14ac:dyDescent="0.25">
      <c r="A55" s="44"/>
      <c r="B55" s="45"/>
      <c r="C55" s="46"/>
      <c r="D55" s="48"/>
      <c r="E55" s="49"/>
      <c r="F55" s="48"/>
      <c r="G55" s="48"/>
      <c r="H55" s="48"/>
      <c r="I55" s="11"/>
      <c r="J55" s="11"/>
      <c r="K55" s="11"/>
      <c r="L55" s="11"/>
      <c r="M55" s="11"/>
      <c r="N55" s="11"/>
      <c r="O55" s="11"/>
      <c r="P55" s="11"/>
      <c r="Q55" s="11"/>
      <c r="R55" s="11"/>
      <c r="S55" s="11"/>
      <c r="T55" s="11"/>
      <c r="U55" s="11"/>
      <c r="V55" s="11"/>
      <c r="W55" s="11"/>
      <c r="X55" s="11"/>
      <c r="Y55" s="11"/>
      <c r="Z55" s="11"/>
    </row>
    <row r="56" spans="1:26" ht="15.75" customHeight="1" x14ac:dyDescent="0.25">
      <c r="A56" s="44"/>
      <c r="B56" s="45"/>
      <c r="C56" s="46"/>
      <c r="D56" s="48"/>
      <c r="E56" s="49"/>
      <c r="F56" s="48"/>
      <c r="G56" s="48"/>
      <c r="H56" s="48"/>
      <c r="I56" s="11"/>
      <c r="J56" s="11"/>
      <c r="K56" s="11"/>
      <c r="L56" s="11"/>
      <c r="M56" s="11"/>
      <c r="N56" s="11"/>
      <c r="O56" s="11"/>
      <c r="P56" s="11"/>
      <c r="Q56" s="11"/>
      <c r="R56" s="11"/>
      <c r="S56" s="11"/>
      <c r="T56" s="11"/>
      <c r="U56" s="11"/>
      <c r="V56" s="11"/>
      <c r="W56" s="11"/>
      <c r="X56" s="11"/>
      <c r="Y56" s="11"/>
      <c r="Z56" s="11"/>
    </row>
    <row r="57" spans="1:26" ht="15.75" customHeight="1" x14ac:dyDescent="0.25">
      <c r="A57" s="44"/>
      <c r="B57" s="45"/>
      <c r="C57" s="46"/>
      <c r="D57" s="48"/>
      <c r="E57" s="49"/>
      <c r="F57" s="48"/>
      <c r="G57" s="48"/>
      <c r="H57" s="48"/>
      <c r="I57" s="11"/>
      <c r="J57" s="11"/>
      <c r="K57" s="11"/>
      <c r="L57" s="11"/>
      <c r="M57" s="11"/>
      <c r="N57" s="11"/>
      <c r="O57" s="11"/>
      <c r="P57" s="11"/>
      <c r="Q57" s="11"/>
      <c r="R57" s="11"/>
      <c r="S57" s="11"/>
      <c r="T57" s="11"/>
      <c r="U57" s="11"/>
      <c r="V57" s="11"/>
      <c r="W57" s="11"/>
      <c r="X57" s="11"/>
      <c r="Y57" s="11"/>
      <c r="Z57" s="11"/>
    </row>
    <row r="58" spans="1:26" ht="15.75" customHeight="1" x14ac:dyDescent="0.25">
      <c r="A58" s="44"/>
      <c r="B58" s="45"/>
      <c r="C58" s="46"/>
      <c r="D58" s="48"/>
      <c r="E58" s="49"/>
      <c r="F58" s="48"/>
      <c r="G58" s="48"/>
      <c r="H58" s="48"/>
      <c r="I58" s="11"/>
      <c r="J58" s="11"/>
      <c r="K58" s="11"/>
      <c r="L58" s="11"/>
      <c r="M58" s="11"/>
      <c r="N58" s="11"/>
      <c r="O58" s="11"/>
      <c r="P58" s="11"/>
      <c r="Q58" s="11"/>
      <c r="R58" s="11"/>
      <c r="S58" s="11"/>
      <c r="T58" s="11"/>
      <c r="U58" s="11"/>
      <c r="V58" s="11"/>
      <c r="W58" s="11"/>
      <c r="X58" s="11"/>
      <c r="Y58" s="11"/>
      <c r="Z58" s="11"/>
    </row>
    <row r="59" spans="1:26" ht="15.75" customHeight="1" x14ac:dyDescent="0.25">
      <c r="A59" s="44"/>
      <c r="B59" s="45"/>
      <c r="C59" s="46"/>
      <c r="D59" s="48"/>
      <c r="E59" s="49"/>
      <c r="F59" s="48"/>
      <c r="G59" s="48"/>
      <c r="H59" s="48"/>
      <c r="I59" s="11"/>
      <c r="J59" s="11"/>
      <c r="K59" s="11"/>
      <c r="L59" s="11"/>
      <c r="M59" s="11"/>
      <c r="N59" s="11"/>
      <c r="O59" s="11"/>
      <c r="P59" s="11"/>
      <c r="Q59" s="11"/>
      <c r="R59" s="11"/>
      <c r="S59" s="11"/>
      <c r="T59" s="11"/>
      <c r="U59" s="11"/>
      <c r="V59" s="11"/>
      <c r="W59" s="11"/>
      <c r="X59" s="11"/>
      <c r="Y59" s="11"/>
      <c r="Z59" s="11"/>
    </row>
    <row r="60" spans="1:26" ht="15.75" customHeight="1" x14ac:dyDescent="0.25">
      <c r="A60" s="44"/>
      <c r="B60" s="45"/>
      <c r="C60" s="46"/>
      <c r="D60" s="48"/>
      <c r="E60" s="49"/>
      <c r="F60" s="48"/>
      <c r="G60" s="48"/>
      <c r="H60" s="48"/>
      <c r="I60" s="11"/>
      <c r="J60" s="11"/>
      <c r="K60" s="11"/>
      <c r="L60" s="11"/>
      <c r="M60" s="11"/>
      <c r="N60" s="11"/>
      <c r="O60" s="11"/>
      <c r="P60" s="11"/>
      <c r="Q60" s="11"/>
      <c r="R60" s="11"/>
      <c r="S60" s="11"/>
      <c r="T60" s="11"/>
      <c r="U60" s="11"/>
      <c r="V60" s="11"/>
      <c r="W60" s="11"/>
      <c r="X60" s="11"/>
      <c r="Y60" s="11"/>
      <c r="Z60" s="11"/>
    </row>
    <row r="61" spans="1:26" ht="15.75" customHeight="1" x14ac:dyDescent="0.25">
      <c r="A61" s="44"/>
      <c r="B61" s="45"/>
      <c r="C61" s="46"/>
      <c r="D61" s="48"/>
      <c r="E61" s="49"/>
      <c r="F61" s="48"/>
      <c r="G61" s="48"/>
      <c r="H61" s="48"/>
      <c r="I61" s="11"/>
      <c r="J61" s="11"/>
      <c r="K61" s="11"/>
      <c r="L61" s="11"/>
      <c r="M61" s="11"/>
      <c r="N61" s="11"/>
      <c r="O61" s="11"/>
      <c r="P61" s="11"/>
      <c r="Q61" s="11"/>
      <c r="R61" s="11"/>
      <c r="S61" s="11"/>
      <c r="T61" s="11"/>
      <c r="U61" s="11"/>
      <c r="V61" s="11"/>
      <c r="W61" s="11"/>
      <c r="X61" s="11"/>
      <c r="Y61" s="11"/>
      <c r="Z61" s="11"/>
    </row>
    <row r="62" spans="1:26" ht="15.75" customHeight="1" x14ac:dyDescent="0.25">
      <c r="A62" s="44"/>
      <c r="B62" s="45"/>
      <c r="C62" s="46"/>
      <c r="D62" s="48"/>
      <c r="E62" s="49"/>
      <c r="F62" s="48"/>
      <c r="G62" s="48"/>
      <c r="H62" s="48"/>
      <c r="I62" s="11"/>
      <c r="J62" s="11"/>
      <c r="K62" s="11"/>
      <c r="L62" s="11"/>
      <c r="M62" s="11"/>
      <c r="N62" s="11"/>
      <c r="O62" s="11"/>
      <c r="P62" s="11"/>
      <c r="Q62" s="11"/>
      <c r="R62" s="11"/>
      <c r="S62" s="11"/>
      <c r="T62" s="11"/>
      <c r="U62" s="11"/>
      <c r="V62" s="11"/>
      <c r="W62" s="11"/>
      <c r="X62" s="11"/>
      <c r="Y62" s="11"/>
      <c r="Z62" s="11"/>
    </row>
    <row r="63" spans="1:26" ht="15.75" customHeight="1" x14ac:dyDescent="0.25">
      <c r="A63" s="44"/>
      <c r="B63" s="45"/>
      <c r="C63" s="46"/>
      <c r="D63" s="48"/>
      <c r="E63" s="49"/>
      <c r="F63" s="48"/>
      <c r="G63" s="48"/>
      <c r="H63" s="48"/>
      <c r="I63" s="11"/>
      <c r="J63" s="11"/>
      <c r="K63" s="11"/>
      <c r="L63" s="11"/>
      <c r="M63" s="11"/>
      <c r="N63" s="11"/>
      <c r="O63" s="11"/>
      <c r="P63" s="11"/>
      <c r="Q63" s="11"/>
      <c r="R63" s="11"/>
      <c r="S63" s="11"/>
      <c r="T63" s="11"/>
      <c r="U63" s="11"/>
      <c r="V63" s="11"/>
      <c r="W63" s="11"/>
      <c r="X63" s="11"/>
      <c r="Y63" s="11"/>
      <c r="Z63" s="11"/>
    </row>
    <row r="64" spans="1:26" ht="15.75" customHeight="1" x14ac:dyDescent="0.25">
      <c r="A64" s="44"/>
      <c r="B64" s="45"/>
      <c r="C64" s="46"/>
      <c r="D64" s="48"/>
      <c r="E64" s="49"/>
      <c r="F64" s="48"/>
      <c r="G64" s="48"/>
      <c r="H64" s="48"/>
      <c r="I64" s="11"/>
      <c r="J64" s="11"/>
      <c r="K64" s="11"/>
      <c r="L64" s="11"/>
      <c r="M64" s="11"/>
      <c r="N64" s="11"/>
      <c r="O64" s="11"/>
      <c r="P64" s="11"/>
      <c r="Q64" s="11"/>
      <c r="R64" s="11"/>
      <c r="S64" s="11"/>
      <c r="T64" s="11"/>
      <c r="U64" s="11"/>
      <c r="V64" s="11"/>
      <c r="W64" s="11"/>
      <c r="X64" s="11"/>
      <c r="Y64" s="11"/>
      <c r="Z64" s="11"/>
    </row>
    <row r="65" spans="1:26" ht="15.75" customHeight="1" x14ac:dyDescent="0.25">
      <c r="A65" s="44"/>
      <c r="B65" s="45"/>
      <c r="C65" s="46"/>
      <c r="D65" s="48"/>
      <c r="E65" s="49"/>
      <c r="F65" s="48"/>
      <c r="G65" s="48"/>
      <c r="H65" s="48"/>
      <c r="I65" s="11"/>
      <c r="J65" s="11"/>
      <c r="K65" s="11"/>
      <c r="L65" s="11"/>
      <c r="M65" s="11"/>
      <c r="N65" s="11"/>
      <c r="O65" s="11"/>
      <c r="P65" s="11"/>
      <c r="Q65" s="11"/>
      <c r="R65" s="11"/>
      <c r="S65" s="11"/>
      <c r="T65" s="11"/>
      <c r="U65" s="11"/>
      <c r="V65" s="11"/>
      <c r="W65" s="11"/>
      <c r="X65" s="11"/>
      <c r="Y65" s="11"/>
      <c r="Z65" s="11"/>
    </row>
    <row r="66" spans="1:26" ht="15.75" customHeight="1" x14ac:dyDescent="0.25">
      <c r="A66" s="44"/>
      <c r="B66" s="45"/>
      <c r="C66" s="46"/>
      <c r="D66" s="48"/>
      <c r="E66" s="49"/>
      <c r="F66" s="48"/>
      <c r="G66" s="48"/>
      <c r="H66" s="48"/>
      <c r="I66" s="11"/>
      <c r="J66" s="11"/>
      <c r="K66" s="11"/>
      <c r="L66" s="11"/>
      <c r="M66" s="11"/>
      <c r="N66" s="11"/>
      <c r="O66" s="11"/>
      <c r="P66" s="11"/>
      <c r="Q66" s="11"/>
      <c r="R66" s="11"/>
      <c r="S66" s="11"/>
      <c r="T66" s="11"/>
      <c r="U66" s="11"/>
      <c r="V66" s="11"/>
      <c r="W66" s="11"/>
      <c r="X66" s="11"/>
      <c r="Y66" s="11"/>
      <c r="Z66" s="11"/>
    </row>
    <row r="67" spans="1:26" ht="15.75" customHeight="1" x14ac:dyDescent="0.25">
      <c r="A67" s="44"/>
      <c r="B67" s="45"/>
      <c r="C67" s="46"/>
      <c r="D67" s="48"/>
      <c r="E67" s="49"/>
      <c r="F67" s="48"/>
      <c r="G67" s="48"/>
      <c r="H67" s="48"/>
      <c r="I67" s="11"/>
      <c r="J67" s="11"/>
      <c r="K67" s="11"/>
      <c r="L67" s="11"/>
      <c r="M67" s="11"/>
      <c r="N67" s="11"/>
      <c r="O67" s="11"/>
      <c r="P67" s="11"/>
      <c r="Q67" s="11"/>
      <c r="R67" s="11"/>
      <c r="S67" s="11"/>
      <c r="T67" s="11"/>
      <c r="U67" s="11"/>
      <c r="V67" s="11"/>
      <c r="W67" s="11"/>
      <c r="X67" s="11"/>
      <c r="Y67" s="11"/>
      <c r="Z67" s="11"/>
    </row>
    <row r="68" spans="1:26" ht="15.75" customHeight="1" x14ac:dyDescent="0.25">
      <c r="A68" s="44"/>
      <c r="B68" s="45"/>
      <c r="C68" s="46"/>
      <c r="D68" s="48"/>
      <c r="E68" s="49"/>
      <c r="F68" s="48"/>
      <c r="G68" s="48"/>
      <c r="H68" s="48"/>
      <c r="I68" s="11"/>
      <c r="J68" s="11"/>
      <c r="K68" s="11"/>
      <c r="L68" s="11"/>
      <c r="M68" s="11"/>
      <c r="N68" s="11"/>
      <c r="O68" s="11"/>
      <c r="P68" s="11"/>
      <c r="Q68" s="11"/>
      <c r="R68" s="11"/>
      <c r="S68" s="11"/>
      <c r="T68" s="11"/>
      <c r="U68" s="11"/>
      <c r="V68" s="11"/>
      <c r="W68" s="11"/>
      <c r="X68" s="11"/>
      <c r="Y68" s="11"/>
      <c r="Z68" s="11"/>
    </row>
    <row r="69" spans="1:26" ht="15.75" customHeight="1" x14ac:dyDescent="0.25">
      <c r="A69" s="44"/>
      <c r="B69" s="45"/>
      <c r="C69" s="46"/>
      <c r="D69" s="48"/>
      <c r="E69" s="49"/>
      <c r="F69" s="48"/>
      <c r="G69" s="48"/>
      <c r="H69" s="48"/>
      <c r="I69" s="11"/>
      <c r="J69" s="11"/>
      <c r="K69" s="11"/>
      <c r="L69" s="11"/>
      <c r="M69" s="11"/>
      <c r="N69" s="11"/>
      <c r="O69" s="11"/>
      <c r="P69" s="11"/>
      <c r="Q69" s="11"/>
      <c r="R69" s="11"/>
      <c r="S69" s="11"/>
      <c r="T69" s="11"/>
      <c r="U69" s="11"/>
      <c r="V69" s="11"/>
      <c r="W69" s="11"/>
      <c r="X69" s="11"/>
      <c r="Y69" s="11"/>
      <c r="Z69" s="11"/>
    </row>
    <row r="70" spans="1:26" ht="15.75" customHeight="1" x14ac:dyDescent="0.25">
      <c r="A70" s="44"/>
      <c r="B70" s="45"/>
      <c r="C70" s="46"/>
      <c r="D70" s="48"/>
      <c r="E70" s="49"/>
      <c r="F70" s="48"/>
      <c r="G70" s="48"/>
      <c r="H70" s="48"/>
      <c r="I70" s="11"/>
      <c r="J70" s="11"/>
      <c r="K70" s="11"/>
      <c r="L70" s="11"/>
      <c r="M70" s="11"/>
      <c r="N70" s="11"/>
      <c r="O70" s="11"/>
      <c r="P70" s="11"/>
      <c r="Q70" s="11"/>
      <c r="R70" s="11"/>
      <c r="S70" s="11"/>
      <c r="T70" s="11"/>
      <c r="U70" s="11"/>
      <c r="V70" s="11"/>
      <c r="W70" s="11"/>
      <c r="X70" s="11"/>
      <c r="Y70" s="11"/>
      <c r="Z70" s="11"/>
    </row>
    <row r="71" spans="1:26" ht="15.75" customHeight="1" x14ac:dyDescent="0.25">
      <c r="A71" s="44"/>
      <c r="B71" s="45"/>
      <c r="C71" s="46"/>
      <c r="D71" s="48"/>
      <c r="E71" s="49"/>
      <c r="F71" s="48"/>
      <c r="G71" s="48"/>
      <c r="H71" s="48"/>
      <c r="I71" s="11"/>
      <c r="J71" s="11"/>
      <c r="K71" s="11"/>
      <c r="L71" s="11"/>
      <c r="M71" s="11"/>
      <c r="N71" s="11"/>
      <c r="O71" s="11"/>
      <c r="P71" s="11"/>
      <c r="Q71" s="11"/>
      <c r="R71" s="11"/>
      <c r="S71" s="11"/>
      <c r="T71" s="11"/>
      <c r="U71" s="11"/>
      <c r="V71" s="11"/>
      <c r="W71" s="11"/>
      <c r="X71" s="11"/>
      <c r="Y71" s="11"/>
      <c r="Z71" s="11"/>
    </row>
    <row r="72" spans="1:26" ht="15.75" customHeight="1" x14ac:dyDescent="0.25">
      <c r="A72" s="44"/>
      <c r="B72" s="45"/>
      <c r="C72" s="46"/>
      <c r="D72" s="48"/>
      <c r="E72" s="49"/>
      <c r="F72" s="48"/>
      <c r="G72" s="48"/>
      <c r="H72" s="48"/>
      <c r="I72" s="11"/>
      <c r="J72" s="11"/>
      <c r="K72" s="11"/>
      <c r="L72" s="11"/>
      <c r="M72" s="11"/>
      <c r="N72" s="11"/>
      <c r="O72" s="11"/>
      <c r="P72" s="11"/>
      <c r="Q72" s="11"/>
      <c r="R72" s="11"/>
      <c r="S72" s="11"/>
      <c r="T72" s="11"/>
      <c r="U72" s="11"/>
      <c r="V72" s="11"/>
      <c r="W72" s="11"/>
      <c r="X72" s="11"/>
      <c r="Y72" s="11"/>
      <c r="Z72" s="11"/>
    </row>
    <row r="73" spans="1:26" ht="15.75" customHeight="1" x14ac:dyDescent="0.25">
      <c r="A73" s="44"/>
      <c r="B73" s="45"/>
      <c r="C73" s="46"/>
      <c r="D73" s="48"/>
      <c r="E73" s="49"/>
      <c r="F73" s="48"/>
      <c r="G73" s="48"/>
      <c r="H73" s="48"/>
      <c r="I73" s="11"/>
      <c r="J73" s="11"/>
      <c r="K73" s="11"/>
      <c r="L73" s="11"/>
      <c r="M73" s="11"/>
      <c r="N73" s="11"/>
      <c r="O73" s="11"/>
      <c r="P73" s="11"/>
      <c r="Q73" s="11"/>
      <c r="R73" s="11"/>
      <c r="S73" s="11"/>
      <c r="T73" s="11"/>
      <c r="U73" s="11"/>
      <c r="V73" s="11"/>
      <c r="W73" s="11"/>
      <c r="X73" s="11"/>
      <c r="Y73" s="11"/>
      <c r="Z73" s="11"/>
    </row>
    <row r="74" spans="1:26" ht="15.75" customHeight="1" x14ac:dyDescent="0.25">
      <c r="A74" s="44"/>
      <c r="B74" s="45"/>
      <c r="C74" s="46"/>
      <c r="D74" s="48"/>
      <c r="E74" s="49"/>
      <c r="F74" s="48"/>
      <c r="G74" s="48"/>
      <c r="H74" s="48"/>
      <c r="I74" s="11"/>
      <c r="J74" s="11"/>
      <c r="K74" s="11"/>
      <c r="L74" s="11"/>
      <c r="M74" s="11"/>
      <c r="N74" s="11"/>
      <c r="O74" s="11"/>
      <c r="P74" s="11"/>
      <c r="Q74" s="11"/>
      <c r="R74" s="11"/>
      <c r="S74" s="11"/>
      <c r="T74" s="11"/>
      <c r="U74" s="11"/>
      <c r="V74" s="11"/>
      <c r="W74" s="11"/>
      <c r="X74" s="11"/>
      <c r="Y74" s="11"/>
      <c r="Z74" s="11"/>
    </row>
    <row r="75" spans="1:26" ht="15.75" customHeight="1" x14ac:dyDescent="0.25">
      <c r="A75" s="44"/>
      <c r="B75" s="45"/>
      <c r="C75" s="46"/>
      <c r="D75" s="48"/>
      <c r="E75" s="49"/>
      <c r="F75" s="48"/>
      <c r="G75" s="48"/>
      <c r="H75" s="48"/>
      <c r="I75" s="11"/>
      <c r="J75" s="11"/>
      <c r="K75" s="11"/>
      <c r="L75" s="11"/>
      <c r="M75" s="11"/>
      <c r="N75" s="11"/>
      <c r="O75" s="11"/>
      <c r="P75" s="11"/>
      <c r="Q75" s="11"/>
      <c r="R75" s="11"/>
      <c r="S75" s="11"/>
      <c r="T75" s="11"/>
      <c r="U75" s="11"/>
      <c r="V75" s="11"/>
      <c r="W75" s="11"/>
      <c r="X75" s="11"/>
      <c r="Y75" s="11"/>
      <c r="Z75" s="11"/>
    </row>
    <row r="76" spans="1:26" ht="15.75" customHeight="1" x14ac:dyDescent="0.25">
      <c r="A76" s="44"/>
      <c r="B76" s="45"/>
      <c r="C76" s="46"/>
      <c r="D76" s="48"/>
      <c r="E76" s="49"/>
      <c r="F76" s="48"/>
      <c r="G76" s="48"/>
      <c r="H76" s="48"/>
      <c r="I76" s="11"/>
      <c r="J76" s="11"/>
      <c r="K76" s="11"/>
      <c r="L76" s="11"/>
      <c r="M76" s="11"/>
      <c r="N76" s="11"/>
      <c r="O76" s="11"/>
      <c r="P76" s="11"/>
      <c r="Q76" s="11"/>
      <c r="R76" s="11"/>
      <c r="S76" s="11"/>
      <c r="T76" s="11"/>
      <c r="U76" s="11"/>
      <c r="V76" s="11"/>
      <c r="W76" s="11"/>
      <c r="X76" s="11"/>
      <c r="Y76" s="11"/>
      <c r="Z76" s="11"/>
    </row>
    <row r="77" spans="1:26" ht="15.75" customHeight="1" x14ac:dyDescent="0.25">
      <c r="A77" s="44"/>
      <c r="B77" s="45"/>
      <c r="C77" s="46"/>
      <c r="D77" s="48"/>
      <c r="E77" s="49"/>
      <c r="F77" s="48"/>
      <c r="G77" s="48"/>
      <c r="H77" s="48"/>
      <c r="I77" s="11"/>
      <c r="J77" s="11"/>
      <c r="K77" s="11"/>
      <c r="L77" s="11"/>
      <c r="M77" s="11"/>
      <c r="N77" s="11"/>
      <c r="O77" s="11"/>
      <c r="P77" s="11"/>
      <c r="Q77" s="11"/>
      <c r="R77" s="11"/>
      <c r="S77" s="11"/>
      <c r="T77" s="11"/>
      <c r="U77" s="11"/>
      <c r="V77" s="11"/>
      <c r="W77" s="11"/>
      <c r="X77" s="11"/>
      <c r="Y77" s="11"/>
      <c r="Z77" s="11"/>
    </row>
    <row r="78" spans="1:26" ht="15.75" customHeight="1" x14ac:dyDescent="0.25">
      <c r="A78" s="44"/>
      <c r="B78" s="45"/>
      <c r="C78" s="46"/>
      <c r="D78" s="48"/>
      <c r="E78" s="49"/>
      <c r="F78" s="48"/>
      <c r="G78" s="48"/>
      <c r="H78" s="48"/>
      <c r="I78" s="11"/>
      <c r="J78" s="11"/>
      <c r="K78" s="11"/>
      <c r="L78" s="11"/>
      <c r="M78" s="11"/>
      <c r="N78" s="11"/>
      <c r="O78" s="11"/>
      <c r="P78" s="11"/>
      <c r="Q78" s="11"/>
      <c r="R78" s="11"/>
      <c r="S78" s="11"/>
      <c r="T78" s="11"/>
      <c r="U78" s="11"/>
      <c r="V78" s="11"/>
      <c r="W78" s="11"/>
      <c r="X78" s="11"/>
      <c r="Y78" s="11"/>
      <c r="Z78" s="11"/>
    </row>
    <row r="79" spans="1:26" ht="15.75" customHeight="1" x14ac:dyDescent="0.25">
      <c r="A79" s="44"/>
      <c r="B79" s="45"/>
      <c r="C79" s="46"/>
      <c r="D79" s="48"/>
      <c r="E79" s="49"/>
      <c r="F79" s="48"/>
      <c r="G79" s="48"/>
      <c r="H79" s="48"/>
      <c r="I79" s="11"/>
      <c r="J79" s="11"/>
      <c r="K79" s="11"/>
      <c r="L79" s="11"/>
      <c r="M79" s="11"/>
      <c r="N79" s="11"/>
      <c r="O79" s="11"/>
      <c r="P79" s="11"/>
      <c r="Q79" s="11"/>
      <c r="R79" s="11"/>
      <c r="S79" s="11"/>
      <c r="T79" s="11"/>
      <c r="U79" s="11"/>
      <c r="V79" s="11"/>
      <c r="W79" s="11"/>
      <c r="X79" s="11"/>
      <c r="Y79" s="11"/>
      <c r="Z79" s="11"/>
    </row>
    <row r="80" spans="1:26" ht="15.75" customHeight="1" x14ac:dyDescent="0.25">
      <c r="A80" s="44"/>
      <c r="B80" s="45"/>
      <c r="C80" s="46"/>
      <c r="D80" s="48"/>
      <c r="E80" s="49"/>
      <c r="F80" s="48"/>
      <c r="G80" s="48"/>
      <c r="H80" s="48"/>
      <c r="I80" s="11"/>
      <c r="J80" s="11"/>
      <c r="K80" s="11"/>
      <c r="L80" s="11"/>
      <c r="M80" s="11"/>
      <c r="N80" s="11"/>
      <c r="O80" s="11"/>
      <c r="P80" s="11"/>
      <c r="Q80" s="11"/>
      <c r="R80" s="11"/>
      <c r="S80" s="11"/>
      <c r="T80" s="11"/>
      <c r="U80" s="11"/>
      <c r="V80" s="11"/>
      <c r="W80" s="11"/>
      <c r="X80" s="11"/>
      <c r="Y80" s="11"/>
      <c r="Z80" s="11"/>
    </row>
    <row r="81" spans="1:26" ht="15.75" customHeight="1" x14ac:dyDescent="0.25">
      <c r="A81" s="44"/>
      <c r="B81" s="45"/>
      <c r="C81" s="46"/>
      <c r="D81" s="48"/>
      <c r="E81" s="49"/>
      <c r="F81" s="48"/>
      <c r="G81" s="48"/>
      <c r="H81" s="48"/>
      <c r="I81" s="11"/>
      <c r="J81" s="11"/>
      <c r="K81" s="11"/>
      <c r="L81" s="11"/>
      <c r="M81" s="11"/>
      <c r="N81" s="11"/>
      <c r="O81" s="11"/>
      <c r="P81" s="11"/>
      <c r="Q81" s="11"/>
      <c r="R81" s="11"/>
      <c r="S81" s="11"/>
      <c r="T81" s="11"/>
      <c r="U81" s="11"/>
      <c r="V81" s="11"/>
      <c r="W81" s="11"/>
      <c r="X81" s="11"/>
      <c r="Y81" s="11"/>
      <c r="Z81" s="11"/>
    </row>
    <row r="82" spans="1:26" ht="15.75" customHeight="1" x14ac:dyDescent="0.25">
      <c r="A82" s="44"/>
      <c r="B82" s="45"/>
      <c r="C82" s="46"/>
      <c r="D82" s="48"/>
      <c r="E82" s="49"/>
      <c r="F82" s="48"/>
      <c r="G82" s="48"/>
      <c r="H82" s="48"/>
      <c r="I82" s="11"/>
      <c r="J82" s="11"/>
      <c r="K82" s="11"/>
      <c r="L82" s="11"/>
      <c r="M82" s="11"/>
      <c r="N82" s="11"/>
      <c r="O82" s="11"/>
      <c r="P82" s="11"/>
      <c r="Q82" s="11"/>
      <c r="R82" s="11"/>
      <c r="S82" s="11"/>
      <c r="T82" s="11"/>
      <c r="U82" s="11"/>
      <c r="V82" s="11"/>
      <c r="W82" s="11"/>
      <c r="X82" s="11"/>
      <c r="Y82" s="11"/>
      <c r="Z82" s="11"/>
    </row>
    <row r="83" spans="1:26" ht="15.75" customHeight="1" x14ac:dyDescent="0.25">
      <c r="A83" s="44"/>
      <c r="B83" s="45"/>
      <c r="C83" s="46"/>
      <c r="D83" s="48"/>
      <c r="E83" s="49"/>
      <c r="F83" s="48"/>
      <c r="G83" s="48"/>
      <c r="H83" s="48"/>
      <c r="I83" s="11"/>
      <c r="J83" s="11"/>
      <c r="K83" s="11"/>
      <c r="L83" s="11"/>
      <c r="M83" s="11"/>
      <c r="N83" s="11"/>
      <c r="O83" s="11"/>
      <c r="P83" s="11"/>
      <c r="Q83" s="11"/>
      <c r="R83" s="11"/>
      <c r="S83" s="11"/>
      <c r="T83" s="11"/>
      <c r="U83" s="11"/>
      <c r="V83" s="11"/>
      <c r="W83" s="11"/>
      <c r="X83" s="11"/>
      <c r="Y83" s="11"/>
      <c r="Z83" s="11"/>
    </row>
    <row r="84" spans="1:26" ht="15.75" customHeight="1" x14ac:dyDescent="0.25">
      <c r="A84" s="44"/>
      <c r="B84" s="45"/>
      <c r="C84" s="46"/>
      <c r="D84" s="48"/>
      <c r="E84" s="49"/>
      <c r="F84" s="48"/>
      <c r="G84" s="48"/>
      <c r="H84" s="48"/>
      <c r="I84" s="11"/>
      <c r="J84" s="11"/>
      <c r="K84" s="11"/>
      <c r="L84" s="11"/>
      <c r="M84" s="11"/>
      <c r="N84" s="11"/>
      <c r="O84" s="11"/>
      <c r="P84" s="11"/>
      <c r="Q84" s="11"/>
      <c r="R84" s="11"/>
      <c r="S84" s="11"/>
      <c r="T84" s="11"/>
      <c r="U84" s="11"/>
      <c r="V84" s="11"/>
      <c r="W84" s="11"/>
      <c r="X84" s="11"/>
      <c r="Y84" s="11"/>
      <c r="Z84" s="11"/>
    </row>
    <row r="85" spans="1:26" ht="15.75" customHeight="1" x14ac:dyDescent="0.25">
      <c r="A85" s="44"/>
      <c r="B85" s="45"/>
      <c r="C85" s="46"/>
      <c r="D85" s="48"/>
      <c r="E85" s="49"/>
      <c r="F85" s="48"/>
      <c r="G85" s="48"/>
      <c r="H85" s="48"/>
      <c r="I85" s="11"/>
      <c r="J85" s="11"/>
      <c r="K85" s="11"/>
      <c r="L85" s="11"/>
      <c r="M85" s="11"/>
      <c r="N85" s="11"/>
      <c r="O85" s="11"/>
      <c r="P85" s="11"/>
      <c r="Q85" s="11"/>
      <c r="R85" s="11"/>
      <c r="S85" s="11"/>
      <c r="T85" s="11"/>
      <c r="U85" s="11"/>
      <c r="V85" s="11"/>
      <c r="W85" s="11"/>
      <c r="X85" s="11"/>
      <c r="Y85" s="11"/>
      <c r="Z85" s="11"/>
    </row>
    <row r="86" spans="1:26" ht="15.75" customHeight="1" x14ac:dyDescent="0.25">
      <c r="A86" s="44"/>
      <c r="B86" s="45"/>
      <c r="C86" s="46"/>
      <c r="D86" s="48"/>
      <c r="E86" s="49"/>
      <c r="F86" s="48"/>
      <c r="G86" s="48"/>
      <c r="H86" s="48"/>
      <c r="I86" s="11"/>
      <c r="J86" s="11"/>
      <c r="K86" s="11"/>
      <c r="L86" s="11"/>
      <c r="M86" s="11"/>
      <c r="N86" s="11"/>
      <c r="O86" s="11"/>
      <c r="P86" s="11"/>
      <c r="Q86" s="11"/>
      <c r="R86" s="11"/>
      <c r="S86" s="11"/>
      <c r="T86" s="11"/>
      <c r="U86" s="11"/>
      <c r="V86" s="11"/>
      <c r="W86" s="11"/>
      <c r="X86" s="11"/>
      <c r="Y86" s="11"/>
      <c r="Z86" s="11"/>
    </row>
    <row r="87" spans="1:26" ht="15.75" customHeight="1" x14ac:dyDescent="0.25">
      <c r="A87" s="44"/>
      <c r="B87" s="45"/>
      <c r="C87" s="46"/>
      <c r="D87" s="48"/>
      <c r="E87" s="49"/>
      <c r="F87" s="48"/>
      <c r="G87" s="48"/>
      <c r="H87" s="48"/>
      <c r="I87" s="11"/>
      <c r="J87" s="11"/>
      <c r="K87" s="11"/>
      <c r="L87" s="11"/>
      <c r="M87" s="11"/>
      <c r="N87" s="11"/>
      <c r="O87" s="11"/>
      <c r="P87" s="11"/>
      <c r="Q87" s="11"/>
      <c r="R87" s="11"/>
      <c r="S87" s="11"/>
      <c r="T87" s="11"/>
      <c r="U87" s="11"/>
      <c r="V87" s="11"/>
      <c r="W87" s="11"/>
      <c r="X87" s="11"/>
      <c r="Y87" s="11"/>
      <c r="Z87" s="11"/>
    </row>
    <row r="88" spans="1:26" ht="15.75" customHeight="1" x14ac:dyDescent="0.25">
      <c r="A88" s="44"/>
      <c r="B88" s="45"/>
      <c r="C88" s="46"/>
      <c r="D88" s="48"/>
      <c r="E88" s="49"/>
      <c r="F88" s="48"/>
      <c r="G88" s="48"/>
      <c r="H88" s="48"/>
      <c r="I88" s="11"/>
      <c r="J88" s="11"/>
      <c r="K88" s="11"/>
      <c r="L88" s="11"/>
      <c r="M88" s="11"/>
      <c r="N88" s="11"/>
      <c r="O88" s="11"/>
      <c r="P88" s="11"/>
      <c r="Q88" s="11"/>
      <c r="R88" s="11"/>
      <c r="S88" s="11"/>
      <c r="T88" s="11"/>
      <c r="U88" s="11"/>
      <c r="V88" s="11"/>
      <c r="W88" s="11"/>
      <c r="X88" s="11"/>
      <c r="Y88" s="11"/>
      <c r="Z88" s="11"/>
    </row>
    <row r="89" spans="1:26" ht="15.75" customHeight="1" x14ac:dyDescent="0.25">
      <c r="A89" s="44"/>
      <c r="B89" s="45"/>
      <c r="C89" s="46"/>
      <c r="D89" s="48"/>
      <c r="E89" s="49"/>
      <c r="F89" s="48"/>
      <c r="G89" s="48"/>
      <c r="H89" s="48"/>
      <c r="I89" s="11"/>
      <c r="J89" s="11"/>
      <c r="K89" s="11"/>
      <c r="L89" s="11"/>
      <c r="M89" s="11"/>
      <c r="N89" s="11"/>
      <c r="O89" s="11"/>
      <c r="P89" s="11"/>
      <c r="Q89" s="11"/>
      <c r="R89" s="11"/>
      <c r="S89" s="11"/>
      <c r="T89" s="11"/>
      <c r="U89" s="11"/>
      <c r="V89" s="11"/>
      <c r="W89" s="11"/>
      <c r="X89" s="11"/>
      <c r="Y89" s="11"/>
      <c r="Z89" s="11"/>
    </row>
    <row r="90" spans="1:26" ht="15.75" customHeight="1" x14ac:dyDescent="0.25">
      <c r="A90" s="44"/>
      <c r="B90" s="45"/>
      <c r="C90" s="46"/>
      <c r="D90" s="48"/>
      <c r="E90" s="49"/>
      <c r="F90" s="48"/>
      <c r="G90" s="48"/>
      <c r="H90" s="48"/>
      <c r="I90" s="11"/>
      <c r="J90" s="11"/>
      <c r="K90" s="11"/>
      <c r="L90" s="11"/>
      <c r="M90" s="11"/>
      <c r="N90" s="11"/>
      <c r="O90" s="11"/>
      <c r="P90" s="11"/>
      <c r="Q90" s="11"/>
      <c r="R90" s="11"/>
      <c r="S90" s="11"/>
      <c r="T90" s="11"/>
      <c r="U90" s="11"/>
      <c r="V90" s="11"/>
      <c r="W90" s="11"/>
      <c r="X90" s="11"/>
      <c r="Y90" s="11"/>
      <c r="Z90" s="11"/>
    </row>
    <row r="91" spans="1:26" ht="15.75" customHeight="1" x14ac:dyDescent="0.25">
      <c r="A91" s="44"/>
      <c r="B91" s="45"/>
      <c r="C91" s="46"/>
      <c r="D91" s="48"/>
      <c r="E91" s="49"/>
      <c r="F91" s="48"/>
      <c r="G91" s="48"/>
      <c r="H91" s="48"/>
      <c r="I91" s="11"/>
      <c r="J91" s="11"/>
      <c r="K91" s="11"/>
      <c r="L91" s="11"/>
      <c r="M91" s="11"/>
      <c r="N91" s="11"/>
      <c r="O91" s="11"/>
      <c r="P91" s="11"/>
      <c r="Q91" s="11"/>
      <c r="R91" s="11"/>
      <c r="S91" s="11"/>
      <c r="T91" s="11"/>
      <c r="U91" s="11"/>
      <c r="V91" s="11"/>
      <c r="W91" s="11"/>
      <c r="X91" s="11"/>
      <c r="Y91" s="11"/>
      <c r="Z91" s="11"/>
    </row>
    <row r="92" spans="1:26" ht="15.75" customHeight="1" x14ac:dyDescent="0.25">
      <c r="A92" s="44"/>
      <c r="B92" s="45"/>
      <c r="C92" s="46"/>
      <c r="D92" s="48"/>
      <c r="E92" s="49"/>
      <c r="F92" s="48"/>
      <c r="G92" s="48"/>
      <c r="H92" s="48"/>
      <c r="I92" s="11"/>
      <c r="J92" s="11"/>
      <c r="K92" s="11"/>
      <c r="L92" s="11"/>
      <c r="M92" s="11"/>
      <c r="N92" s="11"/>
      <c r="O92" s="11"/>
      <c r="P92" s="11"/>
      <c r="Q92" s="11"/>
      <c r="R92" s="11"/>
      <c r="S92" s="11"/>
      <c r="T92" s="11"/>
      <c r="U92" s="11"/>
      <c r="V92" s="11"/>
      <c r="W92" s="11"/>
      <c r="X92" s="11"/>
      <c r="Y92" s="11"/>
      <c r="Z92" s="11"/>
    </row>
    <row r="93" spans="1:26" ht="15.75" customHeight="1" x14ac:dyDescent="0.25">
      <c r="A93" s="44"/>
      <c r="B93" s="45"/>
      <c r="C93" s="46"/>
      <c r="D93" s="48"/>
      <c r="E93" s="49"/>
      <c r="F93" s="48"/>
      <c r="G93" s="48"/>
      <c r="H93" s="48"/>
      <c r="I93" s="11"/>
      <c r="J93" s="11"/>
      <c r="K93" s="11"/>
      <c r="L93" s="11"/>
      <c r="M93" s="11"/>
      <c r="N93" s="11"/>
      <c r="O93" s="11"/>
      <c r="P93" s="11"/>
      <c r="Q93" s="11"/>
      <c r="R93" s="11"/>
      <c r="S93" s="11"/>
      <c r="T93" s="11"/>
      <c r="U93" s="11"/>
      <c r="V93" s="11"/>
      <c r="W93" s="11"/>
      <c r="X93" s="11"/>
      <c r="Y93" s="11"/>
      <c r="Z93" s="11"/>
    </row>
    <row r="94" spans="1:26" ht="15.75" customHeight="1" x14ac:dyDescent="0.25">
      <c r="A94" s="44"/>
      <c r="B94" s="45"/>
      <c r="C94" s="46"/>
      <c r="D94" s="48"/>
      <c r="E94" s="49"/>
      <c r="F94" s="48"/>
      <c r="G94" s="48"/>
      <c r="H94" s="48"/>
      <c r="I94" s="11"/>
      <c r="J94" s="11"/>
      <c r="K94" s="11"/>
      <c r="L94" s="11"/>
      <c r="M94" s="11"/>
      <c r="N94" s="11"/>
      <c r="O94" s="11"/>
      <c r="P94" s="11"/>
      <c r="Q94" s="11"/>
      <c r="R94" s="11"/>
      <c r="S94" s="11"/>
      <c r="T94" s="11"/>
      <c r="U94" s="11"/>
      <c r="V94" s="11"/>
      <c r="W94" s="11"/>
      <c r="X94" s="11"/>
      <c r="Y94" s="11"/>
      <c r="Z94" s="11"/>
    </row>
    <row r="95" spans="1:26" ht="15.75" customHeight="1" x14ac:dyDescent="0.25">
      <c r="A95" s="44"/>
      <c r="B95" s="45"/>
      <c r="C95" s="46"/>
      <c r="D95" s="48"/>
      <c r="E95" s="49"/>
      <c r="F95" s="48"/>
      <c r="G95" s="48"/>
      <c r="H95" s="48"/>
      <c r="I95" s="11"/>
      <c r="J95" s="11"/>
      <c r="K95" s="11"/>
      <c r="L95" s="11"/>
      <c r="M95" s="11"/>
      <c r="N95" s="11"/>
      <c r="O95" s="11"/>
      <c r="P95" s="11"/>
      <c r="Q95" s="11"/>
      <c r="R95" s="11"/>
      <c r="S95" s="11"/>
      <c r="T95" s="11"/>
      <c r="U95" s="11"/>
      <c r="V95" s="11"/>
      <c r="W95" s="11"/>
      <c r="X95" s="11"/>
      <c r="Y95" s="11"/>
      <c r="Z95" s="11"/>
    </row>
    <row r="96" spans="1:26" ht="15.75" customHeight="1" x14ac:dyDescent="0.25">
      <c r="A96" s="44"/>
      <c r="B96" s="45"/>
      <c r="C96" s="46"/>
      <c r="D96" s="48"/>
      <c r="E96" s="49"/>
      <c r="F96" s="48"/>
      <c r="G96" s="48"/>
      <c r="H96" s="48"/>
      <c r="I96" s="11"/>
      <c r="J96" s="11"/>
      <c r="K96" s="11"/>
      <c r="L96" s="11"/>
      <c r="M96" s="11"/>
      <c r="N96" s="11"/>
      <c r="O96" s="11"/>
      <c r="P96" s="11"/>
      <c r="Q96" s="11"/>
      <c r="R96" s="11"/>
      <c r="S96" s="11"/>
      <c r="T96" s="11"/>
      <c r="U96" s="11"/>
      <c r="V96" s="11"/>
      <c r="W96" s="11"/>
      <c r="X96" s="11"/>
      <c r="Y96" s="11"/>
      <c r="Z96" s="11"/>
    </row>
    <row r="97" spans="1:26" ht="15.75" customHeight="1" x14ac:dyDescent="0.25">
      <c r="A97" s="44"/>
      <c r="B97" s="45"/>
      <c r="C97" s="46"/>
      <c r="D97" s="48"/>
      <c r="E97" s="49"/>
      <c r="F97" s="48"/>
      <c r="G97" s="48"/>
      <c r="H97" s="48"/>
      <c r="I97" s="11"/>
      <c r="J97" s="11"/>
      <c r="K97" s="11"/>
      <c r="L97" s="11"/>
      <c r="M97" s="11"/>
      <c r="N97" s="11"/>
      <c r="O97" s="11"/>
      <c r="P97" s="11"/>
      <c r="Q97" s="11"/>
      <c r="R97" s="11"/>
      <c r="S97" s="11"/>
      <c r="T97" s="11"/>
      <c r="U97" s="11"/>
      <c r="V97" s="11"/>
      <c r="W97" s="11"/>
      <c r="X97" s="11"/>
      <c r="Y97" s="11"/>
      <c r="Z97" s="11"/>
    </row>
    <row r="98" spans="1:26" ht="15.75" customHeight="1" x14ac:dyDescent="0.25">
      <c r="A98" s="44"/>
      <c r="B98" s="45"/>
      <c r="C98" s="46"/>
      <c r="D98" s="48"/>
      <c r="E98" s="49"/>
      <c r="F98" s="48"/>
      <c r="G98" s="48"/>
      <c r="H98" s="48"/>
      <c r="I98" s="11"/>
      <c r="J98" s="11"/>
      <c r="K98" s="11"/>
      <c r="L98" s="11"/>
      <c r="M98" s="11"/>
      <c r="N98" s="11"/>
      <c r="O98" s="11"/>
      <c r="P98" s="11"/>
      <c r="Q98" s="11"/>
      <c r="R98" s="11"/>
      <c r="S98" s="11"/>
      <c r="T98" s="11"/>
      <c r="U98" s="11"/>
      <c r="V98" s="11"/>
      <c r="W98" s="11"/>
      <c r="X98" s="11"/>
      <c r="Y98" s="11"/>
      <c r="Z98" s="11"/>
    </row>
    <row r="99" spans="1:26" ht="15.75" customHeight="1" x14ac:dyDescent="0.25">
      <c r="A99" s="44"/>
      <c r="B99" s="45"/>
      <c r="C99" s="46"/>
      <c r="D99" s="48"/>
      <c r="E99" s="49"/>
      <c r="F99" s="48"/>
      <c r="G99" s="48"/>
      <c r="H99" s="48"/>
      <c r="I99" s="11"/>
      <c r="J99" s="11"/>
      <c r="K99" s="11"/>
      <c r="L99" s="11"/>
      <c r="M99" s="11"/>
      <c r="N99" s="11"/>
      <c r="O99" s="11"/>
      <c r="P99" s="11"/>
      <c r="Q99" s="11"/>
      <c r="R99" s="11"/>
      <c r="S99" s="11"/>
      <c r="T99" s="11"/>
      <c r="U99" s="11"/>
      <c r="V99" s="11"/>
      <c r="W99" s="11"/>
      <c r="X99" s="11"/>
      <c r="Y99" s="11"/>
      <c r="Z99" s="11"/>
    </row>
    <row r="100" spans="1:26" ht="15.75" customHeight="1" x14ac:dyDescent="0.25">
      <c r="A100" s="44"/>
      <c r="B100" s="45"/>
      <c r="C100" s="46"/>
      <c r="D100" s="48"/>
      <c r="E100" s="49"/>
      <c r="F100" s="48"/>
      <c r="G100" s="48"/>
      <c r="H100" s="48"/>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44"/>
      <c r="B101" s="45"/>
      <c r="C101" s="46"/>
      <c r="D101" s="48"/>
      <c r="E101" s="49"/>
      <c r="F101" s="48"/>
      <c r="G101" s="48"/>
      <c r="H101" s="48"/>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44"/>
      <c r="B102" s="45"/>
      <c r="C102" s="46"/>
      <c r="D102" s="48"/>
      <c r="E102" s="49"/>
      <c r="F102" s="48"/>
      <c r="G102" s="48"/>
      <c r="H102" s="48"/>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44"/>
      <c r="B103" s="45"/>
      <c r="C103" s="46"/>
      <c r="D103" s="48"/>
      <c r="E103" s="49"/>
      <c r="F103" s="48"/>
      <c r="G103" s="48"/>
      <c r="H103" s="48"/>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44"/>
      <c r="B104" s="45"/>
      <c r="C104" s="46"/>
      <c r="D104" s="48"/>
      <c r="E104" s="49"/>
      <c r="F104" s="48"/>
      <c r="G104" s="48"/>
      <c r="H104" s="48"/>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44"/>
      <c r="B105" s="45"/>
      <c r="C105" s="46"/>
      <c r="D105" s="48"/>
      <c r="E105" s="49"/>
      <c r="F105" s="48"/>
      <c r="G105" s="48"/>
      <c r="H105" s="48"/>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44"/>
      <c r="B106" s="45"/>
      <c r="C106" s="46"/>
      <c r="D106" s="48"/>
      <c r="E106" s="49"/>
      <c r="F106" s="48"/>
      <c r="G106" s="48"/>
      <c r="H106" s="48"/>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44"/>
      <c r="B107" s="45"/>
      <c r="C107" s="46"/>
      <c r="D107" s="48"/>
      <c r="E107" s="49"/>
      <c r="F107" s="48"/>
      <c r="G107" s="48"/>
      <c r="H107" s="48"/>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44"/>
      <c r="B108" s="45"/>
      <c r="C108" s="46"/>
      <c r="D108" s="48"/>
      <c r="E108" s="49"/>
      <c r="F108" s="48"/>
      <c r="G108" s="48"/>
      <c r="H108" s="48"/>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44"/>
      <c r="B109" s="45"/>
      <c r="C109" s="46"/>
      <c r="D109" s="48"/>
      <c r="E109" s="49"/>
      <c r="F109" s="48"/>
      <c r="G109" s="48"/>
      <c r="H109" s="48"/>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44"/>
      <c r="B110" s="45"/>
      <c r="C110" s="46"/>
      <c r="D110" s="48"/>
      <c r="E110" s="49"/>
      <c r="F110" s="48"/>
      <c r="G110" s="48"/>
      <c r="H110" s="48"/>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44"/>
      <c r="B111" s="45"/>
      <c r="C111" s="46"/>
      <c r="D111" s="48"/>
      <c r="E111" s="49"/>
      <c r="F111" s="48"/>
      <c r="G111" s="48"/>
      <c r="H111" s="48"/>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44"/>
      <c r="B112" s="45"/>
      <c r="C112" s="46"/>
      <c r="D112" s="48"/>
      <c r="E112" s="49"/>
      <c r="F112" s="48"/>
      <c r="G112" s="48"/>
      <c r="H112" s="48"/>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44"/>
      <c r="B113" s="45"/>
      <c r="C113" s="46"/>
      <c r="D113" s="48"/>
      <c r="E113" s="49"/>
      <c r="F113" s="48"/>
      <c r="G113" s="48"/>
      <c r="H113" s="48"/>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44"/>
      <c r="B114" s="45"/>
      <c r="C114" s="46"/>
      <c r="D114" s="48"/>
      <c r="E114" s="49"/>
      <c r="F114" s="48"/>
      <c r="G114" s="48"/>
      <c r="H114" s="48"/>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44"/>
      <c r="B115" s="45"/>
      <c r="C115" s="46"/>
      <c r="D115" s="48"/>
      <c r="E115" s="49"/>
      <c r="F115" s="48"/>
      <c r="G115" s="48"/>
      <c r="H115" s="48"/>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44"/>
      <c r="B116" s="45"/>
      <c r="C116" s="46"/>
      <c r="D116" s="48"/>
      <c r="E116" s="49"/>
      <c r="F116" s="48"/>
      <c r="G116" s="48"/>
      <c r="H116" s="48"/>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44"/>
      <c r="B117" s="45"/>
      <c r="C117" s="46"/>
      <c r="D117" s="48"/>
      <c r="E117" s="49"/>
      <c r="F117" s="48"/>
      <c r="G117" s="48"/>
      <c r="H117" s="48"/>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44"/>
      <c r="B118" s="45"/>
      <c r="C118" s="46"/>
      <c r="D118" s="48"/>
      <c r="E118" s="49"/>
      <c r="F118" s="48"/>
      <c r="G118" s="48"/>
      <c r="H118" s="48"/>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44"/>
      <c r="B119" s="45"/>
      <c r="C119" s="46"/>
      <c r="D119" s="48"/>
      <c r="E119" s="49"/>
      <c r="F119" s="48"/>
      <c r="G119" s="48"/>
      <c r="H119" s="48"/>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44"/>
      <c r="B120" s="45"/>
      <c r="C120" s="46"/>
      <c r="D120" s="48"/>
      <c r="E120" s="49"/>
      <c r="F120" s="48"/>
      <c r="G120" s="48"/>
      <c r="H120" s="48"/>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44"/>
      <c r="B121" s="45"/>
      <c r="C121" s="46"/>
      <c r="D121" s="48"/>
      <c r="E121" s="49"/>
      <c r="F121" s="48"/>
      <c r="G121" s="48"/>
      <c r="H121" s="48"/>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44"/>
      <c r="B122" s="45"/>
      <c r="C122" s="46"/>
      <c r="D122" s="48"/>
      <c r="E122" s="49"/>
      <c r="F122" s="48"/>
      <c r="G122" s="48"/>
      <c r="H122" s="48"/>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44"/>
      <c r="B123" s="45"/>
      <c r="C123" s="46"/>
      <c r="D123" s="48"/>
      <c r="E123" s="49"/>
      <c r="F123" s="48"/>
      <c r="G123" s="48"/>
      <c r="H123" s="48"/>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44"/>
      <c r="B124" s="45"/>
      <c r="C124" s="46"/>
      <c r="D124" s="48"/>
      <c r="E124" s="49"/>
      <c r="F124" s="48"/>
      <c r="G124" s="48"/>
      <c r="H124" s="48"/>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44"/>
      <c r="B125" s="45"/>
      <c r="C125" s="46"/>
      <c r="D125" s="48"/>
      <c r="E125" s="49"/>
      <c r="F125" s="48"/>
      <c r="G125" s="48"/>
      <c r="H125" s="48"/>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44"/>
      <c r="B126" s="45"/>
      <c r="C126" s="46"/>
      <c r="D126" s="48"/>
      <c r="E126" s="49"/>
      <c r="F126" s="48"/>
      <c r="G126" s="48"/>
      <c r="H126" s="48"/>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44"/>
      <c r="B127" s="45"/>
      <c r="C127" s="46"/>
      <c r="D127" s="48"/>
      <c r="E127" s="49"/>
      <c r="F127" s="48"/>
      <c r="G127" s="48"/>
      <c r="H127" s="48"/>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44"/>
      <c r="B128" s="45"/>
      <c r="C128" s="46"/>
      <c r="D128" s="48"/>
      <c r="E128" s="49"/>
      <c r="F128" s="48"/>
      <c r="G128" s="48"/>
      <c r="H128" s="48"/>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44"/>
      <c r="B129" s="45"/>
      <c r="C129" s="46"/>
      <c r="D129" s="48"/>
      <c r="E129" s="49"/>
      <c r="F129" s="48"/>
      <c r="G129" s="48"/>
      <c r="H129" s="48"/>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44"/>
      <c r="B130" s="45"/>
      <c r="C130" s="46"/>
      <c r="D130" s="48"/>
      <c r="E130" s="49"/>
      <c r="F130" s="48"/>
      <c r="G130" s="48"/>
      <c r="H130" s="48"/>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44"/>
      <c r="B131" s="45"/>
      <c r="C131" s="46"/>
      <c r="D131" s="48"/>
      <c r="E131" s="49"/>
      <c r="F131" s="48"/>
      <c r="G131" s="48"/>
      <c r="H131" s="48"/>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44"/>
      <c r="B132" s="45"/>
      <c r="C132" s="46"/>
      <c r="D132" s="48"/>
      <c r="E132" s="49"/>
      <c r="F132" s="48"/>
      <c r="G132" s="48"/>
      <c r="H132" s="48"/>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44"/>
      <c r="B133" s="45"/>
      <c r="C133" s="46"/>
      <c r="D133" s="48"/>
      <c r="E133" s="49"/>
      <c r="F133" s="48"/>
      <c r="G133" s="48"/>
      <c r="H133" s="48"/>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44"/>
      <c r="B134" s="45"/>
      <c r="C134" s="46"/>
      <c r="D134" s="48"/>
      <c r="E134" s="49"/>
      <c r="F134" s="48"/>
      <c r="G134" s="48"/>
      <c r="H134" s="48"/>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44"/>
      <c r="B135" s="45"/>
      <c r="C135" s="46"/>
      <c r="D135" s="48"/>
      <c r="E135" s="49"/>
      <c r="F135" s="48"/>
      <c r="G135" s="48"/>
      <c r="H135" s="48"/>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44"/>
      <c r="B136" s="45"/>
      <c r="C136" s="46"/>
      <c r="D136" s="48"/>
      <c r="E136" s="49"/>
      <c r="F136" s="48"/>
      <c r="G136" s="48"/>
      <c r="H136" s="48"/>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44"/>
      <c r="B137" s="45"/>
      <c r="C137" s="46"/>
      <c r="D137" s="48"/>
      <c r="E137" s="49"/>
      <c r="F137" s="48"/>
      <c r="G137" s="48"/>
      <c r="H137" s="48"/>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44"/>
      <c r="B138" s="45"/>
      <c r="C138" s="46"/>
      <c r="D138" s="48"/>
      <c r="E138" s="49"/>
      <c r="F138" s="48"/>
      <c r="G138" s="48"/>
      <c r="H138" s="48"/>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44"/>
      <c r="B139" s="45"/>
      <c r="C139" s="46"/>
      <c r="D139" s="48"/>
      <c r="E139" s="49"/>
      <c r="F139" s="48"/>
      <c r="G139" s="48"/>
      <c r="H139" s="48"/>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44"/>
      <c r="B140" s="45"/>
      <c r="C140" s="46"/>
      <c r="D140" s="48"/>
      <c r="E140" s="49"/>
      <c r="F140" s="48"/>
      <c r="G140" s="48"/>
      <c r="H140" s="48"/>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44"/>
      <c r="B141" s="45"/>
      <c r="C141" s="46"/>
      <c r="D141" s="48"/>
      <c r="E141" s="49"/>
      <c r="F141" s="48"/>
      <c r="G141" s="48"/>
      <c r="H141" s="48"/>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44"/>
      <c r="B142" s="45"/>
      <c r="C142" s="46"/>
      <c r="D142" s="48"/>
      <c r="E142" s="49"/>
      <c r="F142" s="48"/>
      <c r="G142" s="48"/>
      <c r="H142" s="48"/>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44"/>
      <c r="B143" s="45"/>
      <c r="C143" s="46"/>
      <c r="D143" s="48"/>
      <c r="E143" s="49"/>
      <c r="F143" s="48"/>
      <c r="G143" s="48"/>
      <c r="H143" s="48"/>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44"/>
      <c r="B144" s="45"/>
      <c r="C144" s="46"/>
      <c r="D144" s="48"/>
      <c r="E144" s="49"/>
      <c r="F144" s="48"/>
      <c r="G144" s="48"/>
      <c r="H144" s="48"/>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44"/>
      <c r="B145" s="45"/>
      <c r="C145" s="46"/>
      <c r="D145" s="48"/>
      <c r="E145" s="49"/>
      <c r="F145" s="48"/>
      <c r="G145" s="48"/>
      <c r="H145" s="48"/>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44"/>
      <c r="B146" s="45"/>
      <c r="C146" s="46"/>
      <c r="D146" s="48"/>
      <c r="E146" s="49"/>
      <c r="F146" s="48"/>
      <c r="G146" s="48"/>
      <c r="H146" s="48"/>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44"/>
      <c r="B147" s="45"/>
      <c r="C147" s="46"/>
      <c r="D147" s="48"/>
      <c r="E147" s="49"/>
      <c r="F147" s="48"/>
      <c r="G147" s="48"/>
      <c r="H147" s="48"/>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44"/>
      <c r="B148" s="45"/>
      <c r="C148" s="46"/>
      <c r="D148" s="48"/>
      <c r="E148" s="49"/>
      <c r="F148" s="48"/>
      <c r="G148" s="48"/>
      <c r="H148" s="48"/>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44"/>
      <c r="B149" s="45"/>
      <c r="C149" s="46"/>
      <c r="D149" s="48"/>
      <c r="E149" s="49"/>
      <c r="F149" s="48"/>
      <c r="G149" s="48"/>
      <c r="H149" s="48"/>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44"/>
      <c r="B150" s="45"/>
      <c r="C150" s="46"/>
      <c r="D150" s="48"/>
      <c r="E150" s="49"/>
      <c r="F150" s="48"/>
      <c r="G150" s="48"/>
      <c r="H150" s="48"/>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44"/>
      <c r="B151" s="45"/>
      <c r="C151" s="46"/>
      <c r="D151" s="48"/>
      <c r="E151" s="49"/>
      <c r="F151" s="48"/>
      <c r="G151" s="48"/>
      <c r="H151" s="48"/>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44"/>
      <c r="B152" s="45"/>
      <c r="C152" s="46"/>
      <c r="D152" s="48"/>
      <c r="E152" s="49"/>
      <c r="F152" s="48"/>
      <c r="G152" s="48"/>
      <c r="H152" s="48"/>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44"/>
      <c r="B153" s="45"/>
      <c r="C153" s="46"/>
      <c r="D153" s="48"/>
      <c r="E153" s="49"/>
      <c r="F153" s="48"/>
      <c r="G153" s="48"/>
      <c r="H153" s="48"/>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44"/>
      <c r="B154" s="45"/>
      <c r="C154" s="46"/>
      <c r="D154" s="48"/>
      <c r="E154" s="49"/>
      <c r="F154" s="48"/>
      <c r="G154" s="48"/>
      <c r="H154" s="48"/>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44"/>
      <c r="B155" s="45"/>
      <c r="C155" s="46"/>
      <c r="D155" s="48"/>
      <c r="E155" s="49"/>
      <c r="F155" s="48"/>
      <c r="G155" s="48"/>
      <c r="H155" s="48"/>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44"/>
      <c r="B156" s="45"/>
      <c r="C156" s="46"/>
      <c r="D156" s="48"/>
      <c r="E156" s="49"/>
      <c r="F156" s="48"/>
      <c r="G156" s="48"/>
      <c r="H156" s="48"/>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44"/>
      <c r="B157" s="45"/>
      <c r="C157" s="46"/>
      <c r="D157" s="48"/>
      <c r="E157" s="49"/>
      <c r="F157" s="48"/>
      <c r="G157" s="48"/>
      <c r="H157" s="48"/>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44"/>
      <c r="B158" s="45"/>
      <c r="C158" s="46"/>
      <c r="D158" s="48"/>
      <c r="E158" s="49"/>
      <c r="F158" s="48"/>
      <c r="G158" s="48"/>
      <c r="H158" s="48"/>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44"/>
      <c r="B159" s="45"/>
      <c r="C159" s="46"/>
      <c r="D159" s="48"/>
      <c r="E159" s="49"/>
      <c r="F159" s="48"/>
      <c r="G159" s="48"/>
      <c r="H159" s="48"/>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44"/>
      <c r="B160" s="45"/>
      <c r="C160" s="46"/>
      <c r="D160" s="48"/>
      <c r="E160" s="49"/>
      <c r="F160" s="48"/>
      <c r="G160" s="48"/>
      <c r="H160" s="48"/>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44"/>
      <c r="B161" s="45"/>
      <c r="C161" s="46"/>
      <c r="D161" s="48"/>
      <c r="E161" s="49"/>
      <c r="F161" s="48"/>
      <c r="G161" s="48"/>
      <c r="H161" s="48"/>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44"/>
      <c r="B162" s="45"/>
      <c r="C162" s="46"/>
      <c r="D162" s="48"/>
      <c r="E162" s="49"/>
      <c r="F162" s="48"/>
      <c r="G162" s="48"/>
      <c r="H162" s="48"/>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44"/>
      <c r="B163" s="45"/>
      <c r="C163" s="46"/>
      <c r="D163" s="48"/>
      <c r="E163" s="49"/>
      <c r="F163" s="48"/>
      <c r="G163" s="48"/>
      <c r="H163" s="48"/>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44"/>
      <c r="B164" s="45"/>
      <c r="C164" s="46"/>
      <c r="D164" s="48"/>
      <c r="E164" s="49"/>
      <c r="F164" s="48"/>
      <c r="G164" s="48"/>
      <c r="H164" s="48"/>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44"/>
      <c r="B165" s="45"/>
      <c r="C165" s="46"/>
      <c r="D165" s="48"/>
      <c r="E165" s="49"/>
      <c r="F165" s="48"/>
      <c r="G165" s="48"/>
      <c r="H165" s="48"/>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44"/>
      <c r="B166" s="45"/>
      <c r="C166" s="46"/>
      <c r="D166" s="48"/>
      <c r="E166" s="49"/>
      <c r="F166" s="48"/>
      <c r="G166" s="48"/>
      <c r="H166" s="48"/>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44"/>
      <c r="B167" s="45"/>
      <c r="C167" s="46"/>
      <c r="D167" s="48"/>
      <c r="E167" s="49"/>
      <c r="F167" s="48"/>
      <c r="G167" s="48"/>
      <c r="H167" s="48"/>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44"/>
      <c r="B168" s="45"/>
      <c r="C168" s="46"/>
      <c r="D168" s="48"/>
      <c r="E168" s="49"/>
      <c r="F168" s="48"/>
      <c r="G168" s="48"/>
      <c r="H168" s="48"/>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44"/>
      <c r="B169" s="45"/>
      <c r="C169" s="46"/>
      <c r="D169" s="48"/>
      <c r="E169" s="49"/>
      <c r="F169" s="48"/>
      <c r="G169" s="48"/>
      <c r="H169" s="48"/>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44"/>
      <c r="B170" s="45"/>
      <c r="C170" s="46"/>
      <c r="D170" s="48"/>
      <c r="E170" s="49"/>
      <c r="F170" s="48"/>
      <c r="G170" s="48"/>
      <c r="H170" s="48"/>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44"/>
      <c r="B171" s="45"/>
      <c r="C171" s="46"/>
      <c r="D171" s="48"/>
      <c r="E171" s="49"/>
      <c r="F171" s="48"/>
      <c r="G171" s="48"/>
      <c r="H171" s="48"/>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44"/>
      <c r="B172" s="45"/>
      <c r="C172" s="46"/>
      <c r="D172" s="48"/>
      <c r="E172" s="49"/>
      <c r="F172" s="48"/>
      <c r="G172" s="48"/>
      <c r="H172" s="48"/>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44"/>
      <c r="B173" s="45"/>
      <c r="C173" s="46"/>
      <c r="D173" s="48"/>
      <c r="E173" s="49"/>
      <c r="F173" s="48"/>
      <c r="G173" s="48"/>
      <c r="H173" s="48"/>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44"/>
      <c r="B174" s="45"/>
      <c r="C174" s="46"/>
      <c r="D174" s="48"/>
      <c r="E174" s="49"/>
      <c r="F174" s="48"/>
      <c r="G174" s="48"/>
      <c r="H174" s="48"/>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44"/>
      <c r="B175" s="45"/>
      <c r="C175" s="46"/>
      <c r="D175" s="48"/>
      <c r="E175" s="49"/>
      <c r="F175" s="48"/>
      <c r="G175" s="48"/>
      <c r="H175" s="48"/>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44"/>
      <c r="B176" s="45"/>
      <c r="C176" s="46"/>
      <c r="D176" s="48"/>
      <c r="E176" s="49"/>
      <c r="F176" s="48"/>
      <c r="G176" s="48"/>
      <c r="H176" s="48"/>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44"/>
      <c r="B177" s="45"/>
      <c r="C177" s="46"/>
      <c r="D177" s="48"/>
      <c r="E177" s="49"/>
      <c r="F177" s="48"/>
      <c r="G177" s="48"/>
      <c r="H177" s="48"/>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44"/>
      <c r="B178" s="45"/>
      <c r="C178" s="46"/>
      <c r="D178" s="48"/>
      <c r="E178" s="49"/>
      <c r="F178" s="48"/>
      <c r="G178" s="48"/>
      <c r="H178" s="48"/>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44"/>
      <c r="B179" s="45"/>
      <c r="C179" s="46"/>
      <c r="D179" s="48"/>
      <c r="E179" s="49"/>
      <c r="F179" s="48"/>
      <c r="G179" s="48"/>
      <c r="H179" s="48"/>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44"/>
      <c r="B180" s="45"/>
      <c r="C180" s="46"/>
      <c r="D180" s="48"/>
      <c r="E180" s="49"/>
      <c r="F180" s="48"/>
      <c r="G180" s="48"/>
      <c r="H180" s="48"/>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44"/>
      <c r="B181" s="45"/>
      <c r="C181" s="46"/>
      <c r="D181" s="48"/>
      <c r="E181" s="49"/>
      <c r="F181" s="48"/>
      <c r="G181" s="48"/>
      <c r="H181" s="48"/>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44"/>
      <c r="B182" s="45"/>
      <c r="C182" s="46"/>
      <c r="D182" s="48"/>
      <c r="E182" s="49"/>
      <c r="F182" s="48"/>
      <c r="G182" s="48"/>
      <c r="H182" s="48"/>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44"/>
      <c r="B183" s="45"/>
      <c r="C183" s="46"/>
      <c r="D183" s="48"/>
      <c r="E183" s="49"/>
      <c r="F183" s="48"/>
      <c r="G183" s="48"/>
      <c r="H183" s="48"/>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44"/>
      <c r="B184" s="45"/>
      <c r="C184" s="46"/>
      <c r="D184" s="48"/>
      <c r="E184" s="49"/>
      <c r="F184" s="48"/>
      <c r="G184" s="48"/>
      <c r="H184" s="48"/>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44"/>
      <c r="B185" s="45"/>
      <c r="C185" s="46"/>
      <c r="D185" s="48"/>
      <c r="E185" s="49"/>
      <c r="F185" s="48"/>
      <c r="G185" s="48"/>
      <c r="H185" s="48"/>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44"/>
      <c r="B186" s="45"/>
      <c r="C186" s="46"/>
      <c r="D186" s="48"/>
      <c r="E186" s="49"/>
      <c r="F186" s="48"/>
      <c r="G186" s="48"/>
      <c r="H186" s="48"/>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44"/>
      <c r="B187" s="45"/>
      <c r="C187" s="46"/>
      <c r="D187" s="48"/>
      <c r="E187" s="49"/>
      <c r="F187" s="48"/>
      <c r="G187" s="48"/>
      <c r="H187" s="48"/>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44"/>
      <c r="B188" s="45"/>
      <c r="C188" s="46"/>
      <c r="D188" s="48"/>
      <c r="E188" s="49"/>
      <c r="F188" s="48"/>
      <c r="G188" s="48"/>
      <c r="H188" s="48"/>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44"/>
      <c r="B189" s="45"/>
      <c r="C189" s="46"/>
      <c r="D189" s="48"/>
      <c r="E189" s="49"/>
      <c r="F189" s="48"/>
      <c r="G189" s="48"/>
      <c r="H189" s="48"/>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44"/>
      <c r="B190" s="45"/>
      <c r="C190" s="46"/>
      <c r="D190" s="48"/>
      <c r="E190" s="49"/>
      <c r="F190" s="48"/>
      <c r="G190" s="48"/>
      <c r="H190" s="48"/>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44"/>
      <c r="B191" s="45"/>
      <c r="C191" s="46"/>
      <c r="D191" s="48"/>
      <c r="E191" s="49"/>
      <c r="F191" s="48"/>
      <c r="G191" s="48"/>
      <c r="H191" s="48"/>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44"/>
      <c r="B192" s="45"/>
      <c r="C192" s="46"/>
      <c r="D192" s="48"/>
      <c r="E192" s="49"/>
      <c r="F192" s="48"/>
      <c r="G192" s="48"/>
      <c r="H192" s="48"/>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44"/>
      <c r="B193" s="45"/>
      <c r="C193" s="46"/>
      <c r="D193" s="48"/>
      <c r="E193" s="49"/>
      <c r="F193" s="48"/>
      <c r="G193" s="48"/>
      <c r="H193" s="48"/>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44"/>
      <c r="B194" s="45"/>
      <c r="C194" s="46"/>
      <c r="D194" s="48"/>
      <c r="E194" s="49"/>
      <c r="F194" s="48"/>
      <c r="G194" s="48"/>
      <c r="H194" s="48"/>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44"/>
      <c r="B195" s="45"/>
      <c r="C195" s="46"/>
      <c r="D195" s="48"/>
      <c r="E195" s="49"/>
      <c r="F195" s="48"/>
      <c r="G195" s="48"/>
      <c r="H195" s="48"/>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44"/>
      <c r="B196" s="45"/>
      <c r="C196" s="46"/>
      <c r="D196" s="48"/>
      <c r="E196" s="49"/>
      <c r="F196" s="48"/>
      <c r="G196" s="48"/>
      <c r="H196" s="48"/>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44"/>
      <c r="B197" s="45"/>
      <c r="C197" s="46"/>
      <c r="D197" s="48"/>
      <c r="E197" s="49"/>
      <c r="F197" s="48"/>
      <c r="G197" s="48"/>
      <c r="H197" s="48"/>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44"/>
      <c r="B198" s="45"/>
      <c r="C198" s="46"/>
      <c r="D198" s="48"/>
      <c r="E198" s="49"/>
      <c r="F198" s="48"/>
      <c r="G198" s="48"/>
      <c r="H198" s="48"/>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44"/>
      <c r="B199" s="45"/>
      <c r="C199" s="46"/>
      <c r="D199" s="48"/>
      <c r="E199" s="49"/>
      <c r="F199" s="48"/>
      <c r="G199" s="48"/>
      <c r="H199" s="48"/>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44"/>
      <c r="B200" s="45"/>
      <c r="C200" s="46"/>
      <c r="D200" s="48"/>
      <c r="E200" s="49"/>
      <c r="F200" s="48"/>
      <c r="G200" s="48"/>
      <c r="H200" s="48"/>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44"/>
      <c r="B201" s="45"/>
      <c r="C201" s="46"/>
      <c r="D201" s="48"/>
      <c r="E201" s="49"/>
      <c r="F201" s="48"/>
      <c r="G201" s="48"/>
      <c r="H201" s="48"/>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44"/>
      <c r="B202" s="45"/>
      <c r="C202" s="46"/>
      <c r="D202" s="48"/>
      <c r="E202" s="49"/>
      <c r="F202" s="48"/>
      <c r="G202" s="48"/>
      <c r="H202" s="48"/>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44"/>
      <c r="B203" s="45"/>
      <c r="C203" s="46"/>
      <c r="D203" s="48"/>
      <c r="E203" s="49"/>
      <c r="F203" s="48"/>
      <c r="G203" s="48"/>
      <c r="H203" s="48"/>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44"/>
      <c r="B204" s="45"/>
      <c r="C204" s="46"/>
      <c r="D204" s="48"/>
      <c r="E204" s="49"/>
      <c r="F204" s="48"/>
      <c r="G204" s="48"/>
      <c r="H204" s="48"/>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44"/>
      <c r="B205" s="45"/>
      <c r="C205" s="46"/>
      <c r="D205" s="48"/>
      <c r="E205" s="49"/>
      <c r="F205" s="48"/>
      <c r="G205" s="48"/>
      <c r="H205" s="48"/>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44"/>
      <c r="B206" s="45"/>
      <c r="C206" s="46"/>
      <c r="D206" s="48"/>
      <c r="E206" s="49"/>
      <c r="F206" s="48"/>
      <c r="G206" s="48"/>
      <c r="H206" s="48"/>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44"/>
      <c r="B207" s="45"/>
      <c r="C207" s="46"/>
      <c r="D207" s="48"/>
      <c r="E207" s="49"/>
      <c r="F207" s="48"/>
      <c r="G207" s="48"/>
      <c r="H207" s="48"/>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44"/>
      <c r="B208" s="45"/>
      <c r="C208" s="46"/>
      <c r="D208" s="48"/>
      <c r="E208" s="49"/>
      <c r="F208" s="48"/>
      <c r="G208" s="48"/>
      <c r="H208" s="48"/>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44"/>
      <c r="B209" s="45"/>
      <c r="C209" s="46"/>
      <c r="D209" s="48"/>
      <c r="E209" s="49"/>
      <c r="F209" s="48"/>
      <c r="G209" s="48"/>
      <c r="H209" s="48"/>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44"/>
      <c r="B210" s="45"/>
      <c r="C210" s="46"/>
      <c r="D210" s="48"/>
      <c r="E210" s="49"/>
      <c r="F210" s="48"/>
      <c r="G210" s="48"/>
      <c r="H210" s="48"/>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44"/>
      <c r="B211" s="45"/>
      <c r="C211" s="46"/>
      <c r="D211" s="48"/>
      <c r="E211" s="49"/>
      <c r="F211" s="48"/>
      <c r="G211" s="48"/>
      <c r="H211" s="48"/>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44"/>
      <c r="B212" s="45"/>
      <c r="C212" s="46"/>
      <c r="D212" s="48"/>
      <c r="E212" s="49"/>
      <c r="F212" s="48"/>
      <c r="G212" s="48"/>
      <c r="H212" s="48"/>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44"/>
      <c r="B213" s="45"/>
      <c r="C213" s="46"/>
      <c r="D213" s="48"/>
      <c r="E213" s="49"/>
      <c r="F213" s="48"/>
      <c r="G213" s="48"/>
      <c r="H213" s="48"/>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44"/>
      <c r="B214" s="45"/>
      <c r="C214" s="46"/>
      <c r="D214" s="48"/>
      <c r="E214" s="49"/>
      <c r="F214" s="48"/>
      <c r="G214" s="48"/>
      <c r="H214" s="48"/>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44"/>
      <c r="B215" s="45"/>
      <c r="C215" s="46"/>
      <c r="D215" s="48"/>
      <c r="E215" s="49"/>
      <c r="F215" s="48"/>
      <c r="G215" s="48"/>
      <c r="H215" s="48"/>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44"/>
      <c r="B216" s="45"/>
      <c r="C216" s="46"/>
      <c r="D216" s="48"/>
      <c r="E216" s="49"/>
      <c r="F216" s="48"/>
      <c r="G216" s="48"/>
      <c r="H216" s="48"/>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44"/>
      <c r="B217" s="45"/>
      <c r="C217" s="46"/>
      <c r="D217" s="48"/>
      <c r="E217" s="49"/>
      <c r="F217" s="48"/>
      <c r="G217" s="48"/>
      <c r="H217" s="48"/>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44"/>
      <c r="B218" s="45"/>
      <c r="C218" s="46"/>
      <c r="D218" s="48"/>
      <c r="E218" s="49"/>
      <c r="F218" s="48"/>
      <c r="G218" s="48"/>
      <c r="H218" s="48"/>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44"/>
      <c r="B219" s="45"/>
      <c r="C219" s="46"/>
      <c r="D219" s="48"/>
      <c r="E219" s="49"/>
      <c r="F219" s="48"/>
      <c r="G219" s="48"/>
      <c r="H219" s="48"/>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44"/>
      <c r="B220" s="45"/>
      <c r="C220" s="46"/>
      <c r="D220" s="48"/>
      <c r="E220" s="49"/>
      <c r="F220" s="48"/>
      <c r="G220" s="48"/>
      <c r="H220" s="48"/>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44"/>
      <c r="B221" s="45"/>
      <c r="C221" s="46"/>
      <c r="D221" s="48"/>
      <c r="E221" s="49"/>
      <c r="F221" s="48"/>
      <c r="G221" s="48"/>
      <c r="H221" s="48"/>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44"/>
      <c r="B222" s="45"/>
      <c r="C222" s="46"/>
      <c r="D222" s="48"/>
      <c r="E222" s="49"/>
      <c r="F222" s="48"/>
      <c r="G222" s="48"/>
      <c r="H222" s="48"/>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44"/>
      <c r="B223" s="45"/>
      <c r="C223" s="46"/>
      <c r="D223" s="48"/>
      <c r="E223" s="49"/>
      <c r="F223" s="48"/>
      <c r="G223" s="48"/>
      <c r="H223" s="48"/>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44"/>
      <c r="B224" s="45"/>
      <c r="C224" s="46"/>
      <c r="D224" s="48"/>
      <c r="E224" s="49"/>
      <c r="F224" s="48"/>
      <c r="G224" s="48"/>
      <c r="H224" s="48"/>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44"/>
      <c r="B225" s="45"/>
      <c r="C225" s="46"/>
      <c r="D225" s="48"/>
      <c r="E225" s="49"/>
      <c r="F225" s="48"/>
      <c r="G225" s="48"/>
      <c r="H225" s="48"/>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44"/>
      <c r="B226" s="45"/>
      <c r="C226" s="46"/>
      <c r="D226" s="48"/>
      <c r="E226" s="49"/>
      <c r="F226" s="48"/>
      <c r="G226" s="48"/>
      <c r="H226" s="48"/>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44"/>
      <c r="B227" s="45"/>
      <c r="C227" s="46"/>
      <c r="D227" s="48"/>
      <c r="E227" s="49"/>
      <c r="F227" s="48"/>
      <c r="G227" s="48"/>
      <c r="H227" s="48"/>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44"/>
      <c r="B228" s="45"/>
      <c r="C228" s="46"/>
      <c r="D228" s="48"/>
      <c r="E228" s="49"/>
      <c r="F228" s="48"/>
      <c r="G228" s="48"/>
      <c r="H228" s="48"/>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44"/>
      <c r="B229" s="45"/>
      <c r="C229" s="46"/>
      <c r="D229" s="48"/>
      <c r="E229" s="49"/>
      <c r="F229" s="48"/>
      <c r="G229" s="48"/>
      <c r="H229" s="48"/>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44"/>
      <c r="B230" s="45"/>
      <c r="C230" s="46"/>
      <c r="D230" s="48"/>
      <c r="E230" s="49"/>
      <c r="F230" s="48"/>
      <c r="G230" s="48"/>
      <c r="H230" s="48"/>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44"/>
      <c r="B231" s="45"/>
      <c r="C231" s="46"/>
      <c r="D231" s="48"/>
      <c r="E231" s="49"/>
      <c r="F231" s="48"/>
      <c r="G231" s="48"/>
      <c r="H231" s="48"/>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44"/>
      <c r="B232" s="45"/>
      <c r="C232" s="46"/>
      <c r="D232" s="48"/>
      <c r="E232" s="49"/>
      <c r="F232" s="48"/>
      <c r="G232" s="48"/>
      <c r="H232" s="48"/>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44"/>
      <c r="B233" s="45"/>
      <c r="C233" s="46"/>
      <c r="D233" s="48"/>
      <c r="E233" s="49"/>
      <c r="F233" s="48"/>
      <c r="G233" s="48"/>
      <c r="H233" s="48"/>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44"/>
      <c r="B234" s="45"/>
      <c r="C234" s="46"/>
      <c r="D234" s="48"/>
      <c r="E234" s="49"/>
      <c r="F234" s="48"/>
      <c r="G234" s="48"/>
      <c r="H234" s="48"/>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44"/>
      <c r="B235" s="45"/>
      <c r="C235" s="46"/>
      <c r="D235" s="48"/>
      <c r="E235" s="49"/>
      <c r="F235" s="48"/>
      <c r="G235" s="48"/>
      <c r="H235" s="48"/>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44"/>
      <c r="B236" s="45"/>
      <c r="C236" s="46"/>
      <c r="D236" s="48"/>
      <c r="E236" s="49"/>
      <c r="F236" s="48"/>
      <c r="G236" s="48"/>
      <c r="H236" s="48"/>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44"/>
      <c r="B237" s="45"/>
      <c r="C237" s="46"/>
      <c r="D237" s="48"/>
      <c r="E237" s="49"/>
      <c r="F237" s="48"/>
      <c r="G237" s="48"/>
      <c r="H237" s="48"/>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44"/>
      <c r="B238" s="45"/>
      <c r="C238" s="46"/>
      <c r="D238" s="48"/>
      <c r="E238" s="49"/>
      <c r="F238" s="48"/>
      <c r="G238" s="48"/>
      <c r="H238" s="48"/>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44"/>
      <c r="B239" s="45"/>
      <c r="C239" s="46"/>
      <c r="D239" s="48"/>
      <c r="E239" s="49"/>
      <c r="F239" s="48"/>
      <c r="G239" s="48"/>
      <c r="H239" s="48"/>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44"/>
      <c r="B240" s="45"/>
      <c r="C240" s="46"/>
      <c r="D240" s="48"/>
      <c r="E240" s="49"/>
      <c r="F240" s="48"/>
      <c r="G240" s="48"/>
      <c r="H240" s="48"/>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44"/>
      <c r="B241" s="45"/>
      <c r="C241" s="46"/>
      <c r="D241" s="48"/>
      <c r="E241" s="49"/>
      <c r="F241" s="48"/>
      <c r="G241" s="48"/>
      <c r="H241" s="48"/>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44"/>
      <c r="B242" s="45"/>
      <c r="C242" s="46"/>
      <c r="D242" s="48"/>
      <c r="E242" s="49"/>
      <c r="F242" s="48"/>
      <c r="G242" s="48"/>
      <c r="H242" s="48"/>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44"/>
      <c r="B243" s="45"/>
      <c r="C243" s="46"/>
      <c r="D243" s="48"/>
      <c r="E243" s="49"/>
      <c r="F243" s="48"/>
      <c r="G243" s="48"/>
      <c r="H243" s="48"/>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44"/>
      <c r="B244" s="45"/>
      <c r="C244" s="46"/>
      <c r="D244" s="48"/>
      <c r="E244" s="49"/>
      <c r="F244" s="48"/>
      <c r="G244" s="48"/>
      <c r="H244" s="48"/>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44"/>
      <c r="B245" s="45"/>
      <c r="C245" s="46"/>
      <c r="D245" s="48"/>
      <c r="E245" s="49"/>
      <c r="F245" s="48"/>
      <c r="G245" s="48"/>
      <c r="H245" s="48"/>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44"/>
      <c r="B246" s="45"/>
      <c r="C246" s="46"/>
      <c r="D246" s="48"/>
      <c r="E246" s="49"/>
      <c r="F246" s="48"/>
      <c r="G246" s="48"/>
      <c r="H246" s="48"/>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44"/>
      <c r="B247" s="45"/>
      <c r="C247" s="46"/>
      <c r="D247" s="48"/>
      <c r="E247" s="49"/>
      <c r="F247" s="48"/>
      <c r="G247" s="48"/>
      <c r="H247" s="48"/>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44"/>
      <c r="B248" s="45"/>
      <c r="C248" s="46"/>
      <c r="D248" s="48"/>
      <c r="E248" s="49"/>
      <c r="F248" s="48"/>
      <c r="G248" s="48"/>
      <c r="H248" s="48"/>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44"/>
      <c r="B249" s="45"/>
      <c r="C249" s="46"/>
      <c r="D249" s="48"/>
      <c r="E249" s="49"/>
      <c r="F249" s="48"/>
      <c r="G249" s="48"/>
      <c r="H249" s="48"/>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44"/>
      <c r="B250" s="45"/>
      <c r="C250" s="46"/>
      <c r="D250" s="48"/>
      <c r="E250" s="49"/>
      <c r="F250" s="48"/>
      <c r="G250" s="48"/>
      <c r="H250" s="48"/>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44"/>
      <c r="B251" s="45"/>
      <c r="C251" s="46"/>
      <c r="D251" s="48"/>
      <c r="E251" s="49"/>
      <c r="F251" s="48"/>
      <c r="G251" s="48"/>
      <c r="H251" s="48"/>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44"/>
      <c r="B252" s="45"/>
      <c r="C252" s="46"/>
      <c r="D252" s="48"/>
      <c r="E252" s="49"/>
      <c r="F252" s="48"/>
      <c r="G252" s="48"/>
      <c r="H252" s="48"/>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44"/>
      <c r="B253" s="45"/>
      <c r="C253" s="46"/>
      <c r="D253" s="48"/>
      <c r="E253" s="49"/>
      <c r="F253" s="48"/>
      <c r="G253" s="48"/>
      <c r="H253" s="48"/>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67">
    <mergeCell ref="A51:H51"/>
    <mergeCell ref="C52:F52"/>
    <mergeCell ref="C53:F53"/>
    <mergeCell ref="C41:H41"/>
    <mergeCell ref="B42:H42"/>
    <mergeCell ref="B43:H43"/>
    <mergeCell ref="B44:H44"/>
    <mergeCell ref="B45:H45"/>
    <mergeCell ref="C46:H46"/>
    <mergeCell ref="C47:H47"/>
    <mergeCell ref="A46:A48"/>
    <mergeCell ref="A49:A50"/>
    <mergeCell ref="B49:B50"/>
    <mergeCell ref="A39:A41"/>
    <mergeCell ref="C39:H39"/>
    <mergeCell ref="C40:H40"/>
    <mergeCell ref="C48:H48"/>
    <mergeCell ref="C49:D49"/>
    <mergeCell ref="E49:E50"/>
    <mergeCell ref="F49:G50"/>
    <mergeCell ref="C50:D50"/>
    <mergeCell ref="D34:H34"/>
    <mergeCell ref="D35:H35"/>
    <mergeCell ref="D36:H36"/>
    <mergeCell ref="D37:H37"/>
    <mergeCell ref="B38:H38"/>
    <mergeCell ref="D29:H29"/>
    <mergeCell ref="D30:H30"/>
    <mergeCell ref="D31:H31"/>
    <mergeCell ref="D32:H32"/>
    <mergeCell ref="D33:H33"/>
    <mergeCell ref="D24:H24"/>
    <mergeCell ref="D25:H25"/>
    <mergeCell ref="D26:H26"/>
    <mergeCell ref="D27:H27"/>
    <mergeCell ref="D28:H28"/>
    <mergeCell ref="D19:H19"/>
    <mergeCell ref="D20:H20"/>
    <mergeCell ref="D21:H21"/>
    <mergeCell ref="D22:H22"/>
    <mergeCell ref="D23:H23"/>
    <mergeCell ref="D14:H14"/>
    <mergeCell ref="D15:H15"/>
    <mergeCell ref="D16:H16"/>
    <mergeCell ref="D17:H17"/>
    <mergeCell ref="D18:H18"/>
    <mergeCell ref="B9:H9"/>
    <mergeCell ref="B10:H10"/>
    <mergeCell ref="B11:H11"/>
    <mergeCell ref="B12:H12"/>
    <mergeCell ref="D13:H13"/>
    <mergeCell ref="B4:F4"/>
    <mergeCell ref="B5:F5"/>
    <mergeCell ref="B6:H6"/>
    <mergeCell ref="B7:H7"/>
    <mergeCell ref="B8:H8"/>
    <mergeCell ref="A1:B2"/>
    <mergeCell ref="C1:G1"/>
    <mergeCell ref="H1:H2"/>
    <mergeCell ref="C2:G2"/>
    <mergeCell ref="B3:H3"/>
    <mergeCell ref="A13:A37"/>
    <mergeCell ref="B13:B17"/>
    <mergeCell ref="B18:B22"/>
    <mergeCell ref="B23:B27"/>
    <mergeCell ref="B28:B32"/>
    <mergeCell ref="B33:B37"/>
  </mergeCells>
  <pageMargins left="0.7" right="0.7" top="0.75" bottom="0.75" header="0" footer="0"/>
  <pageSetup orientation="landscape"/>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baseColWidth="10" defaultColWidth="12.5703125" defaultRowHeight="15" customHeight="1" x14ac:dyDescent="0.2"/>
  <cols>
    <col min="1" max="1" width="16.7109375" customWidth="1"/>
    <col min="2" max="2" width="4.140625" customWidth="1"/>
    <col min="3" max="3" width="10.7109375" customWidth="1"/>
    <col min="4" max="4" width="5.140625" customWidth="1"/>
    <col min="5" max="5" width="11" customWidth="1"/>
    <col min="6" max="6" width="18.7109375" customWidth="1"/>
    <col min="7" max="8" width="10.7109375" customWidth="1"/>
    <col min="9" max="26" width="10.5703125" customWidth="1"/>
  </cols>
  <sheetData>
    <row r="1" spans="1:26" ht="12.75" customHeight="1" x14ac:dyDescent="0.2">
      <c r="A1" s="132"/>
      <c r="B1" s="111"/>
      <c r="C1" s="133"/>
      <c r="D1" s="135" t="s">
        <v>0</v>
      </c>
      <c r="E1" s="111"/>
      <c r="F1" s="111"/>
      <c r="G1" s="111"/>
      <c r="H1" s="132"/>
      <c r="I1" s="133"/>
      <c r="J1" s="67"/>
      <c r="K1" s="67"/>
      <c r="L1" s="67"/>
      <c r="M1" s="67"/>
      <c r="N1" s="67"/>
      <c r="O1" s="67"/>
      <c r="P1" s="67"/>
      <c r="Q1" s="67"/>
      <c r="R1" s="67"/>
      <c r="S1" s="67"/>
      <c r="T1" s="67"/>
      <c r="U1" s="67"/>
      <c r="V1" s="67"/>
      <c r="W1" s="67"/>
      <c r="X1" s="67"/>
      <c r="Y1" s="67"/>
      <c r="Z1" s="67"/>
    </row>
    <row r="2" spans="1:26" ht="12.75" customHeight="1" x14ac:dyDescent="0.2">
      <c r="A2" s="112"/>
      <c r="B2" s="113"/>
      <c r="C2" s="157"/>
      <c r="D2" s="137" t="s">
        <v>2</v>
      </c>
      <c r="E2" s="91"/>
      <c r="F2" s="91"/>
      <c r="G2" s="91"/>
      <c r="H2" s="112"/>
      <c r="I2" s="157"/>
      <c r="J2" s="67"/>
      <c r="K2" s="67"/>
      <c r="L2" s="67"/>
      <c r="M2" s="67"/>
      <c r="N2" s="67"/>
      <c r="O2" s="67"/>
      <c r="P2" s="67"/>
      <c r="Q2" s="67"/>
      <c r="R2" s="67"/>
      <c r="S2" s="67"/>
      <c r="T2" s="67"/>
      <c r="U2" s="67"/>
      <c r="V2" s="67"/>
      <c r="W2" s="67"/>
      <c r="X2" s="67"/>
      <c r="Y2" s="67"/>
      <c r="Z2" s="67"/>
    </row>
    <row r="3" spans="1:26" ht="31.5" customHeight="1" x14ac:dyDescent="0.2">
      <c r="A3" s="114"/>
      <c r="B3" s="115"/>
      <c r="C3" s="134"/>
      <c r="D3" s="137" t="s">
        <v>3</v>
      </c>
      <c r="E3" s="91"/>
      <c r="F3" s="91"/>
      <c r="G3" s="92"/>
      <c r="H3" s="114"/>
      <c r="I3" s="134"/>
      <c r="J3" s="67"/>
      <c r="K3" s="67"/>
      <c r="L3" s="67"/>
      <c r="M3" s="67"/>
      <c r="N3" s="67"/>
      <c r="O3" s="67"/>
      <c r="P3" s="67"/>
      <c r="Q3" s="67"/>
      <c r="R3" s="67"/>
      <c r="S3" s="67"/>
      <c r="T3" s="67"/>
      <c r="U3" s="67"/>
      <c r="V3" s="67"/>
      <c r="W3" s="67"/>
      <c r="X3" s="67"/>
      <c r="Y3" s="67"/>
      <c r="Z3" s="67"/>
    </row>
    <row r="4" spans="1:26" ht="12.75" customHeight="1" x14ac:dyDescent="0.2">
      <c r="A4" s="2"/>
      <c r="B4" s="138" t="str">
        <f>+'MODULO 8'!B3:H3</f>
        <v>Código: CEC-RCYC-02;Revisión: 02</v>
      </c>
      <c r="C4" s="111"/>
      <c r="D4" s="111"/>
      <c r="E4" s="111"/>
      <c r="F4" s="111"/>
      <c r="G4" s="111"/>
      <c r="H4" s="111"/>
      <c r="I4" s="111"/>
      <c r="J4" s="67"/>
      <c r="K4" s="67"/>
      <c r="L4" s="67"/>
      <c r="M4" s="67"/>
      <c r="N4" s="67"/>
      <c r="O4" s="67"/>
      <c r="P4" s="67"/>
      <c r="Q4" s="67"/>
      <c r="R4" s="67"/>
      <c r="S4" s="67"/>
      <c r="T4" s="67"/>
      <c r="U4" s="67"/>
      <c r="V4" s="67"/>
      <c r="W4" s="67"/>
      <c r="X4" s="67"/>
      <c r="Y4" s="67"/>
      <c r="Z4" s="67"/>
    </row>
    <row r="5" spans="1:26" ht="12.75" customHeight="1" x14ac:dyDescent="0.2">
      <c r="A5" s="6" t="s">
        <v>7</v>
      </c>
      <c r="B5" s="162" t="str">
        <f>+'RESUMEN DIPLOMADO'!D3</f>
        <v>DIPLOMADO EN BIG DATA E INTELIGENCIA ARTIFICIAL</v>
      </c>
      <c r="C5" s="91"/>
      <c r="D5" s="91"/>
      <c r="E5" s="91"/>
      <c r="F5" s="92"/>
      <c r="G5" s="58" t="s">
        <v>9</v>
      </c>
      <c r="H5" s="158" t="str">
        <f>+'RESUMEN DIPLOMADO'!M3</f>
        <v>150 horas
120 horas sincrónicas y
30 horas asincrónicas</v>
      </c>
      <c r="I5" s="92"/>
      <c r="J5" s="67"/>
      <c r="K5" s="67"/>
      <c r="L5" s="67"/>
      <c r="M5" s="67"/>
      <c r="N5" s="67"/>
      <c r="O5" s="67"/>
      <c r="P5" s="67"/>
      <c r="Q5" s="67"/>
      <c r="R5" s="67"/>
      <c r="S5" s="67"/>
      <c r="T5" s="67"/>
      <c r="U5" s="67"/>
      <c r="V5" s="67"/>
      <c r="W5" s="67"/>
      <c r="X5" s="67"/>
      <c r="Y5" s="67"/>
      <c r="Z5" s="67"/>
    </row>
    <row r="6" spans="1:26" ht="12.75" customHeight="1" x14ac:dyDescent="0.2">
      <c r="A6" s="6" t="s">
        <v>12</v>
      </c>
      <c r="B6" s="163">
        <f>+'MODULO 8'!B5:F5</f>
        <v>0</v>
      </c>
      <c r="C6" s="115"/>
      <c r="D6" s="115"/>
      <c r="E6" s="115"/>
      <c r="F6" s="134"/>
      <c r="G6" s="58" t="s">
        <v>9</v>
      </c>
      <c r="H6" s="164">
        <f>+'MODULO 8'!H5</f>
        <v>0</v>
      </c>
      <c r="I6" s="92"/>
      <c r="J6" s="67"/>
      <c r="K6" s="67"/>
      <c r="L6" s="67"/>
      <c r="M6" s="67"/>
      <c r="N6" s="67"/>
      <c r="O6" s="67"/>
      <c r="P6" s="67"/>
      <c r="Q6" s="67"/>
      <c r="R6" s="67"/>
      <c r="S6" s="67"/>
      <c r="T6" s="67"/>
      <c r="U6" s="67"/>
      <c r="V6" s="67"/>
      <c r="W6" s="67"/>
      <c r="X6" s="67"/>
      <c r="Y6" s="67"/>
      <c r="Z6" s="67"/>
    </row>
    <row r="7" spans="1:26" ht="30" customHeight="1" x14ac:dyDescent="0.2">
      <c r="A7" s="15" t="s">
        <v>18</v>
      </c>
      <c r="B7" s="165" t="s">
        <v>347</v>
      </c>
      <c r="C7" s="91"/>
      <c r="D7" s="91"/>
      <c r="E7" s="91"/>
      <c r="F7" s="91"/>
      <c r="G7" s="91"/>
      <c r="H7" s="91"/>
      <c r="I7" s="92"/>
      <c r="J7" s="67"/>
      <c r="K7" s="67"/>
      <c r="L7" s="67"/>
      <c r="M7" s="67"/>
      <c r="N7" s="67"/>
      <c r="O7" s="67"/>
      <c r="P7" s="67"/>
      <c r="Q7" s="67"/>
      <c r="R7" s="67"/>
      <c r="S7" s="67"/>
      <c r="T7" s="67"/>
      <c r="U7" s="67"/>
      <c r="V7" s="67"/>
      <c r="W7" s="67"/>
      <c r="X7" s="67"/>
      <c r="Y7" s="67"/>
      <c r="Z7" s="67"/>
    </row>
    <row r="8" spans="1:26" ht="30.75" customHeight="1" x14ac:dyDescent="0.2">
      <c r="A8" s="15" t="s">
        <v>23</v>
      </c>
      <c r="B8" s="165">
        <f>+'MODULO 8'!B11:H11</f>
        <v>0</v>
      </c>
      <c r="C8" s="91"/>
      <c r="D8" s="91"/>
      <c r="E8" s="91"/>
      <c r="F8" s="91"/>
      <c r="G8" s="91"/>
      <c r="H8" s="91"/>
      <c r="I8" s="92"/>
      <c r="J8" s="67"/>
      <c r="K8" s="67"/>
      <c r="L8" s="67"/>
      <c r="M8" s="67"/>
      <c r="N8" s="67"/>
      <c r="O8" s="67"/>
      <c r="P8" s="67"/>
      <c r="Q8" s="67"/>
      <c r="R8" s="67"/>
      <c r="S8" s="67"/>
      <c r="T8" s="67"/>
      <c r="U8" s="67"/>
      <c r="V8" s="67"/>
      <c r="W8" s="67"/>
      <c r="X8" s="67"/>
      <c r="Y8" s="67"/>
      <c r="Z8" s="67"/>
    </row>
    <row r="9" spans="1:26" ht="52.5" customHeight="1" x14ac:dyDescent="0.2">
      <c r="A9" s="15" t="s">
        <v>30</v>
      </c>
      <c r="B9" s="165" t="str">
        <f>+'MODULO 8'!B12:H12</f>
        <v>U1. 
U2.
U4.
U5.</v>
      </c>
      <c r="C9" s="91"/>
      <c r="D9" s="91"/>
      <c r="E9" s="91"/>
      <c r="F9" s="91"/>
      <c r="G9" s="91"/>
      <c r="H9" s="91"/>
      <c r="I9" s="92"/>
      <c r="J9" s="67"/>
      <c r="K9" s="67"/>
      <c r="L9" s="67"/>
      <c r="M9" s="67"/>
      <c r="N9" s="67"/>
      <c r="O9" s="67"/>
      <c r="P9" s="67"/>
      <c r="Q9" s="67"/>
      <c r="R9" s="67"/>
      <c r="S9" s="67"/>
      <c r="T9" s="67"/>
      <c r="U9" s="67"/>
      <c r="V9" s="67"/>
      <c r="W9" s="67"/>
      <c r="X9" s="67"/>
      <c r="Y9" s="67"/>
      <c r="Z9" s="67"/>
    </row>
    <row r="10" spans="1:26" ht="12.75" customHeight="1" x14ac:dyDescent="0.2">
      <c r="A10" s="166" t="str">
        <f>+'MODULO 8'!B13</f>
        <v>"Unidad 1:  Nombre de la unidad   
XX Horas"</v>
      </c>
      <c r="B10" s="20" t="s">
        <v>36</v>
      </c>
      <c r="C10" s="20" t="s">
        <v>37</v>
      </c>
      <c r="D10" s="159" t="s">
        <v>41</v>
      </c>
      <c r="E10" s="91"/>
      <c r="F10" s="92"/>
      <c r="G10" s="159" t="s">
        <v>43</v>
      </c>
      <c r="H10" s="92"/>
      <c r="I10" s="70" t="s">
        <v>44</v>
      </c>
      <c r="J10" s="67"/>
      <c r="K10" s="67"/>
      <c r="L10" s="67"/>
      <c r="M10" s="67"/>
      <c r="N10" s="67"/>
      <c r="O10" s="67"/>
      <c r="P10" s="67"/>
      <c r="Q10" s="67"/>
      <c r="R10" s="67"/>
      <c r="S10" s="67"/>
      <c r="T10" s="67"/>
      <c r="U10" s="67"/>
      <c r="V10" s="67"/>
      <c r="W10" s="67"/>
      <c r="X10" s="67"/>
      <c r="Y10" s="67"/>
      <c r="Z10" s="67"/>
    </row>
    <row r="11" spans="1:26" ht="15" customHeight="1" x14ac:dyDescent="0.2">
      <c r="A11" s="95"/>
      <c r="B11" s="20">
        <v>1</v>
      </c>
      <c r="C11" s="21"/>
      <c r="D11" s="23" t="s">
        <v>47</v>
      </c>
      <c r="E11" s="160">
        <f>+'MODULO 8'!D13</f>
        <v>0</v>
      </c>
      <c r="F11" s="92"/>
      <c r="G11" s="161"/>
      <c r="H11" s="92"/>
      <c r="I11" s="66"/>
      <c r="J11" s="67"/>
      <c r="K11" s="67"/>
      <c r="L11" s="67"/>
      <c r="M11" s="67"/>
      <c r="N11" s="67"/>
      <c r="O11" s="67"/>
      <c r="P11" s="67"/>
      <c r="Q11" s="67"/>
      <c r="R11" s="67"/>
      <c r="S11" s="67"/>
      <c r="T11" s="67"/>
      <c r="U11" s="67"/>
      <c r="V11" s="67"/>
      <c r="W11" s="67"/>
      <c r="X11" s="67"/>
      <c r="Y11" s="67"/>
      <c r="Z11" s="67"/>
    </row>
    <row r="12" spans="1:26" ht="15" customHeight="1" x14ac:dyDescent="0.2">
      <c r="A12" s="95"/>
      <c r="B12" s="20">
        <v>2</v>
      </c>
      <c r="C12" s="20"/>
      <c r="D12" s="23" t="s">
        <v>49</v>
      </c>
      <c r="E12" s="160">
        <f>+'MODULO 8'!D14</f>
        <v>0</v>
      </c>
      <c r="F12" s="92"/>
      <c r="G12" s="161"/>
      <c r="H12" s="92"/>
      <c r="I12" s="73"/>
      <c r="J12" s="67"/>
      <c r="K12" s="67"/>
      <c r="L12" s="67"/>
      <c r="M12" s="67"/>
      <c r="N12" s="67"/>
      <c r="O12" s="67"/>
      <c r="P12" s="67"/>
      <c r="Q12" s="67"/>
      <c r="R12" s="67"/>
      <c r="S12" s="67"/>
      <c r="T12" s="67"/>
      <c r="U12" s="67"/>
      <c r="V12" s="67"/>
      <c r="W12" s="67"/>
      <c r="X12" s="67"/>
      <c r="Y12" s="67"/>
      <c r="Z12" s="67"/>
    </row>
    <row r="13" spans="1:26" ht="15" customHeight="1" x14ac:dyDescent="0.2">
      <c r="A13" s="95"/>
      <c r="B13" s="20">
        <v>3</v>
      </c>
      <c r="C13" s="20"/>
      <c r="D13" s="23" t="s">
        <v>52</v>
      </c>
      <c r="E13" s="160">
        <f>+'MODULO 8'!D15</f>
        <v>0</v>
      </c>
      <c r="F13" s="92"/>
      <c r="G13" s="161"/>
      <c r="H13" s="92"/>
      <c r="I13" s="66"/>
      <c r="J13" s="67"/>
      <c r="K13" s="67"/>
      <c r="L13" s="67"/>
      <c r="M13" s="67"/>
      <c r="N13" s="67"/>
      <c r="O13" s="67"/>
      <c r="P13" s="67"/>
      <c r="Q13" s="67"/>
      <c r="R13" s="67"/>
      <c r="S13" s="67"/>
      <c r="T13" s="67"/>
      <c r="U13" s="67"/>
      <c r="V13" s="67"/>
      <c r="W13" s="67"/>
      <c r="X13" s="67"/>
      <c r="Y13" s="67"/>
      <c r="Z13" s="67"/>
    </row>
    <row r="14" spans="1:26" ht="15" customHeight="1" x14ac:dyDescent="0.2">
      <c r="A14" s="95"/>
      <c r="B14" s="20"/>
      <c r="C14" s="20"/>
      <c r="D14" s="23" t="s">
        <v>55</v>
      </c>
      <c r="E14" s="160">
        <f>+'MODULO 8'!D16</f>
        <v>0</v>
      </c>
      <c r="F14" s="92"/>
      <c r="G14" s="161"/>
      <c r="H14" s="92"/>
      <c r="I14" s="66"/>
      <c r="J14" s="67"/>
      <c r="K14" s="67"/>
      <c r="L14" s="67"/>
      <c r="M14" s="67"/>
      <c r="N14" s="67"/>
      <c r="O14" s="67"/>
      <c r="P14" s="67"/>
      <c r="Q14" s="67"/>
      <c r="R14" s="67"/>
      <c r="S14" s="67"/>
      <c r="T14" s="67"/>
      <c r="U14" s="67"/>
      <c r="V14" s="67"/>
      <c r="W14" s="67"/>
      <c r="X14" s="67"/>
      <c r="Y14" s="67"/>
      <c r="Z14" s="67"/>
    </row>
    <row r="15" spans="1:26" ht="15" customHeight="1" x14ac:dyDescent="0.2">
      <c r="A15" s="96"/>
      <c r="B15" s="20"/>
      <c r="C15" s="20"/>
      <c r="D15" s="23" t="s">
        <v>57</v>
      </c>
      <c r="E15" s="160">
        <f>+'MODULO 8'!D17</f>
        <v>0</v>
      </c>
      <c r="F15" s="92"/>
      <c r="G15" s="161"/>
      <c r="H15" s="92"/>
      <c r="I15" s="66"/>
      <c r="J15" s="67"/>
      <c r="K15" s="67"/>
      <c r="L15" s="67"/>
      <c r="M15" s="67"/>
      <c r="N15" s="67"/>
      <c r="O15" s="67"/>
      <c r="P15" s="67"/>
      <c r="Q15" s="67"/>
      <c r="R15" s="67"/>
      <c r="S15" s="67"/>
      <c r="T15" s="67"/>
      <c r="U15" s="67"/>
      <c r="V15" s="67"/>
      <c r="W15" s="67"/>
      <c r="X15" s="67"/>
      <c r="Y15" s="67"/>
      <c r="Z15" s="67"/>
    </row>
    <row r="16" spans="1:26" ht="15" customHeight="1" x14ac:dyDescent="0.2">
      <c r="A16" s="166" t="str">
        <f>+'MODULO 8'!B18</f>
        <v>"Unidad 2:  Nombre de la unidad   
XX Horas"</v>
      </c>
      <c r="B16" s="20"/>
      <c r="C16" s="20"/>
      <c r="D16" s="23" t="s">
        <v>61</v>
      </c>
      <c r="E16" s="160">
        <f>+'MODULO 8'!D18</f>
        <v>0</v>
      </c>
      <c r="F16" s="92"/>
      <c r="G16" s="161"/>
      <c r="H16" s="92"/>
      <c r="I16" s="66"/>
      <c r="J16" s="67"/>
      <c r="K16" s="67"/>
      <c r="L16" s="67"/>
      <c r="M16" s="67"/>
      <c r="N16" s="67"/>
      <c r="O16" s="67"/>
      <c r="P16" s="67"/>
      <c r="Q16" s="67"/>
      <c r="R16" s="67"/>
      <c r="S16" s="67"/>
      <c r="T16" s="67"/>
      <c r="U16" s="67"/>
      <c r="V16" s="67"/>
      <c r="W16" s="67"/>
      <c r="X16" s="67"/>
      <c r="Y16" s="67"/>
      <c r="Z16" s="67"/>
    </row>
    <row r="17" spans="1:26" ht="15" customHeight="1" x14ac:dyDescent="0.2">
      <c r="A17" s="95"/>
      <c r="B17" s="20"/>
      <c r="C17" s="20"/>
      <c r="D17" s="23" t="s">
        <v>64</v>
      </c>
      <c r="E17" s="160">
        <f>+'MODULO 8'!D19</f>
        <v>0</v>
      </c>
      <c r="F17" s="92"/>
      <c r="G17" s="161"/>
      <c r="H17" s="92"/>
      <c r="I17" s="66"/>
      <c r="J17" s="67"/>
      <c r="K17" s="67"/>
      <c r="L17" s="67"/>
      <c r="M17" s="67"/>
      <c r="N17" s="67"/>
      <c r="O17" s="67"/>
      <c r="P17" s="67"/>
      <c r="Q17" s="67"/>
      <c r="R17" s="67"/>
      <c r="S17" s="67"/>
      <c r="T17" s="67"/>
      <c r="U17" s="67"/>
      <c r="V17" s="67"/>
      <c r="W17" s="67"/>
      <c r="X17" s="67"/>
      <c r="Y17" s="67"/>
      <c r="Z17" s="67"/>
    </row>
    <row r="18" spans="1:26" ht="15" customHeight="1" x14ac:dyDescent="0.2">
      <c r="A18" s="95"/>
      <c r="B18" s="20"/>
      <c r="C18" s="20"/>
      <c r="D18" s="23" t="s">
        <v>66</v>
      </c>
      <c r="E18" s="160">
        <f>+'MODULO 8'!D20</f>
        <v>0</v>
      </c>
      <c r="F18" s="92"/>
      <c r="G18" s="161"/>
      <c r="H18" s="92"/>
      <c r="I18" s="66"/>
      <c r="J18" s="67"/>
      <c r="K18" s="67"/>
      <c r="L18" s="67"/>
      <c r="M18" s="67"/>
      <c r="N18" s="67"/>
      <c r="O18" s="67"/>
      <c r="P18" s="67"/>
      <c r="Q18" s="67"/>
      <c r="R18" s="67"/>
      <c r="S18" s="67"/>
      <c r="T18" s="67"/>
      <c r="U18" s="67"/>
      <c r="V18" s="67"/>
      <c r="W18" s="67"/>
      <c r="X18" s="67"/>
      <c r="Y18" s="67"/>
      <c r="Z18" s="67"/>
    </row>
    <row r="19" spans="1:26" ht="15" customHeight="1" x14ac:dyDescent="0.2">
      <c r="A19" s="95"/>
      <c r="B19" s="20"/>
      <c r="C19" s="20"/>
      <c r="D19" s="23" t="s">
        <v>69</v>
      </c>
      <c r="E19" s="160">
        <f>+'MODULO 8'!D21</f>
        <v>0</v>
      </c>
      <c r="F19" s="92"/>
      <c r="G19" s="161"/>
      <c r="H19" s="92"/>
      <c r="I19" s="66"/>
      <c r="J19" s="67"/>
      <c r="K19" s="67"/>
      <c r="L19" s="67"/>
      <c r="M19" s="67"/>
      <c r="N19" s="67"/>
      <c r="O19" s="67"/>
      <c r="P19" s="67"/>
      <c r="Q19" s="67"/>
      <c r="R19" s="67"/>
      <c r="S19" s="67"/>
      <c r="T19" s="67"/>
      <c r="U19" s="67"/>
      <c r="V19" s="67"/>
      <c r="W19" s="67"/>
      <c r="X19" s="67"/>
      <c r="Y19" s="67"/>
      <c r="Z19" s="67"/>
    </row>
    <row r="20" spans="1:26" ht="15" customHeight="1" x14ac:dyDescent="0.2">
      <c r="A20" s="96"/>
      <c r="B20" s="20"/>
      <c r="C20" s="20"/>
      <c r="D20" s="23" t="s">
        <v>72</v>
      </c>
      <c r="E20" s="160">
        <f>+'MODULO 8'!D22</f>
        <v>0</v>
      </c>
      <c r="F20" s="92"/>
      <c r="G20" s="161"/>
      <c r="H20" s="92"/>
      <c r="I20" s="66"/>
      <c r="J20" s="67"/>
      <c r="K20" s="67"/>
      <c r="L20" s="67"/>
      <c r="M20" s="67"/>
      <c r="N20" s="67"/>
      <c r="O20" s="67"/>
      <c r="P20" s="67"/>
      <c r="Q20" s="67"/>
      <c r="R20" s="67"/>
      <c r="S20" s="67"/>
      <c r="T20" s="67"/>
      <c r="U20" s="67"/>
      <c r="V20" s="67"/>
      <c r="W20" s="67"/>
      <c r="X20" s="67"/>
      <c r="Y20" s="67"/>
      <c r="Z20" s="67"/>
    </row>
    <row r="21" spans="1:26" ht="15" customHeight="1" x14ac:dyDescent="0.2">
      <c r="A21" s="166" t="str">
        <f>+'MODULO 8'!B23</f>
        <v>"Unidad 3:  Nombre de la unidad   
XX Horas"</v>
      </c>
      <c r="B21" s="20"/>
      <c r="C21" s="20"/>
      <c r="D21" s="23" t="s">
        <v>76</v>
      </c>
      <c r="E21" s="160">
        <f>+'MODULO 8'!D23</f>
        <v>0</v>
      </c>
      <c r="F21" s="92"/>
      <c r="G21" s="161"/>
      <c r="H21" s="92"/>
      <c r="I21" s="66"/>
      <c r="J21" s="67"/>
      <c r="K21" s="67"/>
      <c r="L21" s="67"/>
      <c r="M21" s="67"/>
      <c r="N21" s="67"/>
      <c r="O21" s="67"/>
      <c r="P21" s="67"/>
      <c r="Q21" s="67"/>
      <c r="R21" s="67"/>
      <c r="S21" s="67"/>
      <c r="T21" s="67"/>
      <c r="U21" s="67"/>
      <c r="V21" s="67"/>
      <c r="W21" s="67"/>
      <c r="X21" s="67"/>
      <c r="Y21" s="67"/>
      <c r="Z21" s="67"/>
    </row>
    <row r="22" spans="1:26" ht="15" customHeight="1" x14ac:dyDescent="0.2">
      <c r="A22" s="95"/>
      <c r="B22" s="20"/>
      <c r="C22" s="20"/>
      <c r="D22" s="23" t="s">
        <v>78</v>
      </c>
      <c r="E22" s="160">
        <f>+'MODULO 8'!D24</f>
        <v>0</v>
      </c>
      <c r="F22" s="92"/>
      <c r="G22" s="161"/>
      <c r="H22" s="92"/>
      <c r="I22" s="66"/>
      <c r="J22" s="67"/>
      <c r="K22" s="67"/>
      <c r="L22" s="67"/>
      <c r="M22" s="67"/>
      <c r="N22" s="67"/>
      <c r="O22" s="67"/>
      <c r="P22" s="67"/>
      <c r="Q22" s="67"/>
      <c r="R22" s="67"/>
      <c r="S22" s="67"/>
      <c r="T22" s="67"/>
      <c r="U22" s="67"/>
      <c r="V22" s="67"/>
      <c r="W22" s="67"/>
      <c r="X22" s="67"/>
      <c r="Y22" s="67"/>
      <c r="Z22" s="67"/>
    </row>
    <row r="23" spans="1:26" ht="15" customHeight="1" x14ac:dyDescent="0.2">
      <c r="A23" s="95"/>
      <c r="B23" s="20"/>
      <c r="C23" s="20"/>
      <c r="D23" s="23" t="s">
        <v>81</v>
      </c>
      <c r="E23" s="160">
        <f>+'MODULO 8'!D25</f>
        <v>0</v>
      </c>
      <c r="F23" s="92"/>
      <c r="G23" s="161"/>
      <c r="H23" s="92"/>
      <c r="I23" s="66"/>
      <c r="J23" s="67"/>
      <c r="K23" s="67"/>
      <c r="L23" s="67"/>
      <c r="M23" s="67"/>
      <c r="N23" s="67"/>
      <c r="O23" s="67"/>
      <c r="P23" s="67"/>
      <c r="Q23" s="67"/>
      <c r="R23" s="67"/>
      <c r="S23" s="67"/>
      <c r="T23" s="67"/>
      <c r="U23" s="67"/>
      <c r="V23" s="67"/>
      <c r="W23" s="67"/>
      <c r="X23" s="67"/>
      <c r="Y23" s="67"/>
      <c r="Z23" s="67"/>
    </row>
    <row r="24" spans="1:26" ht="15" customHeight="1" x14ac:dyDescent="0.2">
      <c r="A24" s="95"/>
      <c r="B24" s="20"/>
      <c r="C24" s="20"/>
      <c r="D24" s="23" t="s">
        <v>85</v>
      </c>
      <c r="E24" s="160">
        <f>+'MODULO 8'!D26</f>
        <v>0</v>
      </c>
      <c r="F24" s="92"/>
      <c r="G24" s="161"/>
      <c r="H24" s="92"/>
      <c r="I24" s="66"/>
      <c r="J24" s="67"/>
      <c r="K24" s="67"/>
      <c r="L24" s="67"/>
      <c r="M24" s="67"/>
      <c r="N24" s="67"/>
      <c r="O24" s="67"/>
      <c r="P24" s="67"/>
      <c r="Q24" s="67"/>
      <c r="R24" s="67"/>
      <c r="S24" s="67"/>
      <c r="T24" s="67"/>
      <c r="U24" s="67"/>
      <c r="V24" s="67"/>
      <c r="W24" s="67"/>
      <c r="X24" s="67"/>
      <c r="Y24" s="67"/>
      <c r="Z24" s="67"/>
    </row>
    <row r="25" spans="1:26" ht="15" customHeight="1" x14ac:dyDescent="0.2">
      <c r="A25" s="96"/>
      <c r="B25" s="20"/>
      <c r="C25" s="20"/>
      <c r="D25" s="23" t="s">
        <v>87</v>
      </c>
      <c r="E25" s="160">
        <f>+'MODULO 8'!D27</f>
        <v>0</v>
      </c>
      <c r="F25" s="92"/>
      <c r="G25" s="161"/>
      <c r="H25" s="92"/>
      <c r="I25" s="66"/>
      <c r="J25" s="67"/>
      <c r="K25" s="67"/>
      <c r="L25" s="67"/>
      <c r="M25" s="67"/>
      <c r="N25" s="67"/>
      <c r="O25" s="67"/>
      <c r="P25" s="67"/>
      <c r="Q25" s="67"/>
      <c r="R25" s="67"/>
      <c r="S25" s="67"/>
      <c r="T25" s="67"/>
      <c r="U25" s="67"/>
      <c r="V25" s="67"/>
      <c r="W25" s="67"/>
      <c r="X25" s="67"/>
      <c r="Y25" s="67"/>
      <c r="Z25" s="67"/>
    </row>
    <row r="26" spans="1:26" ht="15" customHeight="1" x14ac:dyDescent="0.2">
      <c r="A26" s="166" t="str">
        <f>+'MODULO 8'!B28</f>
        <v>"Unidad 4:  Nombre de la unidad   
XX Horas"</v>
      </c>
      <c r="B26" s="20"/>
      <c r="C26" s="20"/>
      <c r="D26" s="23" t="s">
        <v>92</v>
      </c>
      <c r="E26" s="160">
        <f>+'MODULO 8'!D28</f>
        <v>0</v>
      </c>
      <c r="F26" s="92"/>
      <c r="G26" s="161"/>
      <c r="H26" s="92"/>
      <c r="I26" s="66"/>
      <c r="J26" s="67"/>
      <c r="K26" s="67"/>
      <c r="L26" s="67"/>
      <c r="M26" s="67"/>
      <c r="N26" s="67"/>
      <c r="O26" s="67"/>
      <c r="P26" s="67"/>
      <c r="Q26" s="67"/>
      <c r="R26" s="67"/>
      <c r="S26" s="67"/>
      <c r="T26" s="67"/>
      <c r="U26" s="67"/>
      <c r="V26" s="67"/>
      <c r="W26" s="67"/>
      <c r="X26" s="67"/>
      <c r="Y26" s="67"/>
      <c r="Z26" s="67"/>
    </row>
    <row r="27" spans="1:26" ht="15" customHeight="1" x14ac:dyDescent="0.2">
      <c r="A27" s="95"/>
      <c r="B27" s="20"/>
      <c r="C27" s="20"/>
      <c r="D27" s="23" t="s">
        <v>95</v>
      </c>
      <c r="E27" s="160">
        <f>+'MODULO 8'!D29</f>
        <v>0</v>
      </c>
      <c r="F27" s="92"/>
      <c r="G27" s="161"/>
      <c r="H27" s="92"/>
      <c r="I27" s="66"/>
      <c r="J27" s="67"/>
      <c r="K27" s="67"/>
      <c r="L27" s="67"/>
      <c r="M27" s="67"/>
      <c r="N27" s="67"/>
      <c r="O27" s="67"/>
      <c r="P27" s="67"/>
      <c r="Q27" s="67"/>
      <c r="R27" s="67"/>
      <c r="S27" s="67"/>
      <c r="T27" s="67"/>
      <c r="U27" s="67"/>
      <c r="V27" s="67"/>
      <c r="W27" s="67"/>
      <c r="X27" s="67"/>
      <c r="Y27" s="67"/>
      <c r="Z27" s="67"/>
    </row>
    <row r="28" spans="1:26" ht="15" customHeight="1" x14ac:dyDescent="0.2">
      <c r="A28" s="95"/>
      <c r="B28" s="20"/>
      <c r="C28" s="20"/>
      <c r="D28" s="23" t="s">
        <v>98</v>
      </c>
      <c r="E28" s="160">
        <f>+'MODULO 8'!D30</f>
        <v>0</v>
      </c>
      <c r="F28" s="92"/>
      <c r="G28" s="161"/>
      <c r="H28" s="92"/>
      <c r="I28" s="66"/>
      <c r="J28" s="67"/>
      <c r="K28" s="67"/>
      <c r="L28" s="67"/>
      <c r="M28" s="67"/>
      <c r="N28" s="67"/>
      <c r="O28" s="67"/>
      <c r="P28" s="67"/>
      <c r="Q28" s="67"/>
      <c r="R28" s="67"/>
      <c r="S28" s="67"/>
      <c r="T28" s="67"/>
      <c r="U28" s="67"/>
      <c r="V28" s="67"/>
      <c r="W28" s="67"/>
      <c r="X28" s="67"/>
      <c r="Y28" s="67"/>
      <c r="Z28" s="67"/>
    </row>
    <row r="29" spans="1:26" ht="15" customHeight="1" x14ac:dyDescent="0.2">
      <c r="A29" s="95"/>
      <c r="B29" s="20"/>
      <c r="C29" s="20"/>
      <c r="D29" s="23" t="s">
        <v>101</v>
      </c>
      <c r="E29" s="160">
        <f>+'MODULO 8'!D31</f>
        <v>0</v>
      </c>
      <c r="F29" s="92"/>
      <c r="G29" s="161"/>
      <c r="H29" s="92"/>
      <c r="I29" s="66"/>
      <c r="J29" s="67"/>
      <c r="K29" s="67"/>
      <c r="L29" s="67"/>
      <c r="M29" s="67"/>
      <c r="N29" s="67"/>
      <c r="O29" s="67"/>
      <c r="P29" s="67"/>
      <c r="Q29" s="67"/>
      <c r="R29" s="67"/>
      <c r="S29" s="67"/>
      <c r="T29" s="67"/>
      <c r="U29" s="67"/>
      <c r="V29" s="67"/>
      <c r="W29" s="67"/>
      <c r="X29" s="67"/>
      <c r="Y29" s="67"/>
      <c r="Z29" s="67"/>
    </row>
    <row r="30" spans="1:26" ht="15" customHeight="1" x14ac:dyDescent="0.2">
      <c r="A30" s="96"/>
      <c r="B30" s="20"/>
      <c r="C30" s="20"/>
      <c r="D30" s="23" t="s">
        <v>104</v>
      </c>
      <c r="E30" s="160">
        <f>+'MODULO 8'!D32</f>
        <v>0</v>
      </c>
      <c r="F30" s="92"/>
      <c r="G30" s="161"/>
      <c r="H30" s="92"/>
      <c r="I30" s="66"/>
      <c r="J30" s="67"/>
      <c r="K30" s="67"/>
      <c r="L30" s="67"/>
      <c r="M30" s="67"/>
      <c r="N30" s="67"/>
      <c r="O30" s="67"/>
      <c r="P30" s="67"/>
      <c r="Q30" s="67"/>
      <c r="R30" s="67"/>
      <c r="S30" s="67"/>
      <c r="T30" s="67"/>
      <c r="U30" s="67"/>
      <c r="V30" s="67"/>
      <c r="W30" s="67"/>
      <c r="X30" s="67"/>
      <c r="Y30" s="67"/>
      <c r="Z30" s="67"/>
    </row>
    <row r="31" spans="1:26" ht="12.75" customHeight="1" x14ac:dyDescent="0.2">
      <c r="A31" s="166" t="str">
        <f>+'MODULO 8'!B33</f>
        <v>"Unidad 5:  Nombre de la unidad   
XX Horas"</v>
      </c>
      <c r="B31" s="20"/>
      <c r="C31" s="20"/>
      <c r="D31" s="23" t="s">
        <v>108</v>
      </c>
      <c r="E31" s="160">
        <f>+'MODULO 8'!D33</f>
        <v>0</v>
      </c>
      <c r="F31" s="92"/>
      <c r="G31" s="161"/>
      <c r="H31" s="92"/>
      <c r="I31" s="66"/>
      <c r="J31" s="67"/>
      <c r="K31" s="67"/>
      <c r="L31" s="67"/>
      <c r="M31" s="67"/>
      <c r="N31" s="67"/>
      <c r="O31" s="67"/>
      <c r="P31" s="67"/>
      <c r="Q31" s="67"/>
      <c r="R31" s="67"/>
      <c r="S31" s="67"/>
      <c r="T31" s="67"/>
      <c r="U31" s="67"/>
      <c r="V31" s="67"/>
      <c r="W31" s="67"/>
      <c r="X31" s="67"/>
      <c r="Y31" s="67"/>
      <c r="Z31" s="67"/>
    </row>
    <row r="32" spans="1:26" ht="12.75" customHeight="1" x14ac:dyDescent="0.2">
      <c r="A32" s="95"/>
      <c r="B32" s="20"/>
      <c r="C32" s="20"/>
      <c r="D32" s="23" t="s">
        <v>111</v>
      </c>
      <c r="E32" s="160">
        <f>+'MODULO 8'!D34</f>
        <v>0</v>
      </c>
      <c r="F32" s="92"/>
      <c r="G32" s="161"/>
      <c r="H32" s="92"/>
      <c r="I32" s="66"/>
      <c r="J32" s="67"/>
      <c r="K32" s="67"/>
      <c r="L32" s="67"/>
      <c r="M32" s="67"/>
      <c r="N32" s="67"/>
      <c r="O32" s="67"/>
      <c r="P32" s="67"/>
      <c r="Q32" s="67"/>
      <c r="R32" s="67"/>
      <c r="S32" s="67"/>
      <c r="T32" s="67"/>
      <c r="U32" s="67"/>
      <c r="V32" s="67"/>
      <c r="W32" s="67"/>
      <c r="X32" s="67"/>
      <c r="Y32" s="67"/>
      <c r="Z32" s="67"/>
    </row>
    <row r="33" spans="1:26" ht="12.75" customHeight="1" x14ac:dyDescent="0.2">
      <c r="A33" s="95"/>
      <c r="B33" s="20"/>
      <c r="C33" s="20"/>
      <c r="D33" s="23" t="s">
        <v>113</v>
      </c>
      <c r="E33" s="160">
        <f>+'MODULO 8'!D35</f>
        <v>0</v>
      </c>
      <c r="F33" s="92"/>
      <c r="G33" s="161"/>
      <c r="H33" s="92"/>
      <c r="I33" s="66"/>
      <c r="J33" s="67"/>
      <c r="K33" s="67"/>
      <c r="L33" s="67"/>
      <c r="M33" s="67"/>
      <c r="N33" s="67"/>
      <c r="O33" s="67"/>
      <c r="P33" s="67"/>
      <c r="Q33" s="67"/>
      <c r="R33" s="67"/>
      <c r="S33" s="67"/>
      <c r="T33" s="67"/>
      <c r="U33" s="67"/>
      <c r="V33" s="67"/>
      <c r="W33" s="67"/>
      <c r="X33" s="67"/>
      <c r="Y33" s="67"/>
      <c r="Z33" s="67"/>
    </row>
    <row r="34" spans="1:26" ht="12.75" customHeight="1" x14ac:dyDescent="0.2">
      <c r="A34" s="95"/>
      <c r="B34" s="20"/>
      <c r="C34" s="20"/>
      <c r="D34" s="23" t="s">
        <v>116</v>
      </c>
      <c r="E34" s="160">
        <f>+'MODULO 8'!D36</f>
        <v>0</v>
      </c>
      <c r="F34" s="92"/>
      <c r="G34" s="161"/>
      <c r="H34" s="92"/>
      <c r="I34" s="66"/>
      <c r="J34" s="67"/>
      <c r="K34" s="67"/>
      <c r="L34" s="67"/>
      <c r="M34" s="67"/>
      <c r="N34" s="67"/>
      <c r="O34" s="67"/>
      <c r="P34" s="67"/>
      <c r="Q34" s="67"/>
      <c r="R34" s="67"/>
      <c r="S34" s="67"/>
      <c r="T34" s="67"/>
      <c r="U34" s="67"/>
      <c r="V34" s="67"/>
      <c r="W34" s="67"/>
      <c r="X34" s="67"/>
      <c r="Y34" s="67"/>
      <c r="Z34" s="67"/>
    </row>
    <row r="35" spans="1:26" ht="12.75" customHeight="1" x14ac:dyDescent="0.2">
      <c r="A35" s="96"/>
      <c r="B35" s="20"/>
      <c r="C35" s="20"/>
      <c r="D35" s="23" t="s">
        <v>119</v>
      </c>
      <c r="E35" s="160">
        <f>+'MODULO 8'!D37</f>
        <v>0</v>
      </c>
      <c r="F35" s="92"/>
      <c r="G35" s="161"/>
      <c r="H35" s="92"/>
      <c r="I35" s="66"/>
      <c r="J35" s="67"/>
      <c r="K35" s="67"/>
      <c r="L35" s="67"/>
      <c r="M35" s="67"/>
      <c r="N35" s="67"/>
      <c r="O35" s="67"/>
      <c r="P35" s="67"/>
      <c r="Q35" s="67"/>
      <c r="R35" s="67"/>
      <c r="S35" s="67"/>
      <c r="T35" s="67"/>
      <c r="U35" s="67"/>
      <c r="V35" s="67"/>
      <c r="W35" s="67"/>
      <c r="X35" s="67"/>
      <c r="Y35" s="67"/>
      <c r="Z35" s="67"/>
    </row>
    <row r="36" spans="1:26" ht="54.75" customHeight="1" x14ac:dyDescent="0.2">
      <c r="A36" s="36" t="s">
        <v>140</v>
      </c>
      <c r="B36" s="170">
        <f>+'MODULO 8'!B42:H42</f>
        <v>0</v>
      </c>
      <c r="C36" s="91"/>
      <c r="D36" s="91"/>
      <c r="E36" s="91"/>
      <c r="F36" s="91"/>
      <c r="G36" s="91"/>
      <c r="H36" s="91"/>
      <c r="I36" s="92"/>
      <c r="J36" s="67"/>
      <c r="K36" s="67"/>
      <c r="L36" s="67"/>
      <c r="M36" s="67"/>
      <c r="N36" s="67"/>
      <c r="O36" s="67"/>
      <c r="P36" s="67"/>
      <c r="Q36" s="67"/>
      <c r="R36" s="67"/>
      <c r="S36" s="67"/>
      <c r="T36" s="67"/>
      <c r="U36" s="67"/>
      <c r="V36" s="67"/>
      <c r="W36" s="67"/>
      <c r="X36" s="67"/>
      <c r="Y36" s="67"/>
      <c r="Z36" s="67"/>
    </row>
    <row r="37" spans="1:26" ht="12.75" customHeight="1" x14ac:dyDescent="0.2">
      <c r="A37" s="175" t="s">
        <v>167</v>
      </c>
      <c r="B37" s="168" t="s">
        <v>44</v>
      </c>
      <c r="C37" s="91"/>
      <c r="D37" s="92"/>
      <c r="E37" s="168" t="s">
        <v>171</v>
      </c>
      <c r="F37" s="92"/>
      <c r="G37" s="39" t="s">
        <v>172</v>
      </c>
      <c r="H37" s="39" t="s">
        <v>176</v>
      </c>
      <c r="I37" s="39" t="s">
        <v>177</v>
      </c>
      <c r="J37" s="67"/>
      <c r="K37" s="67"/>
      <c r="L37" s="67"/>
      <c r="M37" s="67"/>
      <c r="N37" s="67"/>
      <c r="O37" s="67"/>
      <c r="P37" s="67"/>
      <c r="Q37" s="67"/>
      <c r="R37" s="67"/>
      <c r="S37" s="67"/>
      <c r="T37" s="67"/>
      <c r="U37" s="67"/>
      <c r="V37" s="67"/>
      <c r="W37" s="67"/>
      <c r="X37" s="67"/>
      <c r="Y37" s="67"/>
      <c r="Z37" s="67"/>
    </row>
    <row r="38" spans="1:26" ht="12.75" customHeight="1" x14ac:dyDescent="0.2">
      <c r="A38" s="95"/>
      <c r="B38" s="169"/>
      <c r="C38" s="91"/>
      <c r="D38" s="92"/>
      <c r="E38" s="169"/>
      <c r="F38" s="92"/>
      <c r="G38" s="42"/>
      <c r="H38" s="42"/>
      <c r="I38" s="47">
        <f t="shared" ref="I38:I42" si="0">+G38*H38</f>
        <v>0</v>
      </c>
      <c r="J38" s="67"/>
      <c r="K38" s="67"/>
      <c r="L38" s="67"/>
      <c r="M38" s="67"/>
      <c r="N38" s="67"/>
      <c r="O38" s="67"/>
      <c r="P38" s="67"/>
      <c r="Q38" s="67"/>
      <c r="R38" s="67"/>
      <c r="S38" s="67"/>
      <c r="T38" s="67"/>
      <c r="U38" s="67"/>
      <c r="V38" s="67"/>
      <c r="W38" s="67"/>
      <c r="X38" s="67"/>
      <c r="Y38" s="67"/>
      <c r="Z38" s="67"/>
    </row>
    <row r="39" spans="1:26" ht="12.75" customHeight="1" x14ac:dyDescent="0.2">
      <c r="A39" s="95"/>
      <c r="B39" s="169"/>
      <c r="C39" s="91"/>
      <c r="D39" s="92"/>
      <c r="E39" s="169"/>
      <c r="F39" s="92"/>
      <c r="G39" s="42"/>
      <c r="H39" s="42"/>
      <c r="I39" s="47">
        <f t="shared" si="0"/>
        <v>0</v>
      </c>
      <c r="J39" s="67"/>
      <c r="K39" s="67"/>
      <c r="L39" s="67"/>
      <c r="M39" s="67"/>
      <c r="N39" s="67"/>
      <c r="O39" s="67"/>
      <c r="P39" s="67"/>
      <c r="Q39" s="67"/>
      <c r="R39" s="67"/>
      <c r="S39" s="67"/>
      <c r="T39" s="67"/>
      <c r="U39" s="67"/>
      <c r="V39" s="67"/>
      <c r="W39" s="67"/>
      <c r="X39" s="67"/>
      <c r="Y39" s="67"/>
      <c r="Z39" s="67"/>
    </row>
    <row r="40" spans="1:26" ht="12.75" customHeight="1" x14ac:dyDescent="0.2">
      <c r="A40" s="95"/>
      <c r="B40" s="169"/>
      <c r="C40" s="91"/>
      <c r="D40" s="92"/>
      <c r="E40" s="169"/>
      <c r="F40" s="92"/>
      <c r="G40" s="42"/>
      <c r="H40" s="42"/>
      <c r="I40" s="47">
        <f t="shared" si="0"/>
        <v>0</v>
      </c>
      <c r="J40" s="67"/>
      <c r="K40" s="67"/>
      <c r="L40" s="67"/>
      <c r="M40" s="67"/>
      <c r="N40" s="67"/>
      <c r="O40" s="67"/>
      <c r="P40" s="67"/>
      <c r="Q40" s="67"/>
      <c r="R40" s="67"/>
      <c r="S40" s="67"/>
      <c r="T40" s="67"/>
      <c r="U40" s="67"/>
      <c r="V40" s="67"/>
      <c r="W40" s="67"/>
      <c r="X40" s="67"/>
      <c r="Y40" s="67"/>
      <c r="Z40" s="67"/>
    </row>
    <row r="41" spans="1:26" ht="12.75" customHeight="1" x14ac:dyDescent="0.2">
      <c r="A41" s="95"/>
      <c r="B41" s="169"/>
      <c r="C41" s="91"/>
      <c r="D41" s="92"/>
      <c r="E41" s="169"/>
      <c r="F41" s="92"/>
      <c r="G41" s="42"/>
      <c r="H41" s="42"/>
      <c r="I41" s="47">
        <f t="shared" si="0"/>
        <v>0</v>
      </c>
      <c r="J41" s="67"/>
      <c r="K41" s="67"/>
      <c r="L41" s="67"/>
      <c r="M41" s="67"/>
      <c r="N41" s="67"/>
      <c r="O41" s="67"/>
      <c r="P41" s="67"/>
      <c r="Q41" s="67"/>
      <c r="R41" s="67"/>
      <c r="S41" s="67"/>
      <c r="T41" s="67"/>
      <c r="U41" s="67"/>
      <c r="V41" s="67"/>
      <c r="W41" s="67"/>
      <c r="X41" s="67"/>
      <c r="Y41" s="67"/>
      <c r="Z41" s="67"/>
    </row>
    <row r="42" spans="1:26" ht="12.75" customHeight="1" x14ac:dyDescent="0.2">
      <c r="A42" s="95"/>
      <c r="B42" s="169"/>
      <c r="C42" s="91"/>
      <c r="D42" s="92"/>
      <c r="E42" s="169"/>
      <c r="F42" s="92"/>
      <c r="G42" s="42"/>
      <c r="H42" s="42"/>
      <c r="I42" s="47">
        <f t="shared" si="0"/>
        <v>0</v>
      </c>
      <c r="J42" s="67"/>
      <c r="K42" s="67"/>
      <c r="L42" s="67"/>
      <c r="M42" s="67"/>
      <c r="N42" s="67"/>
      <c r="O42" s="67"/>
      <c r="P42" s="67"/>
      <c r="Q42" s="67"/>
      <c r="R42" s="67"/>
      <c r="S42" s="67"/>
      <c r="T42" s="67"/>
      <c r="U42" s="67"/>
      <c r="V42" s="67"/>
      <c r="W42" s="67"/>
      <c r="X42" s="67"/>
      <c r="Y42" s="67"/>
      <c r="Z42" s="67"/>
    </row>
    <row r="43" spans="1:26" ht="12.75" customHeight="1" x14ac:dyDescent="0.2">
      <c r="A43" s="97"/>
      <c r="B43" s="171" t="s">
        <v>181</v>
      </c>
      <c r="C43" s="91"/>
      <c r="D43" s="91"/>
      <c r="E43" s="91"/>
      <c r="F43" s="91"/>
      <c r="G43" s="91"/>
      <c r="H43" s="92"/>
      <c r="I43" s="47">
        <f>SUM(I38:I42)</f>
        <v>0</v>
      </c>
      <c r="J43" s="67"/>
      <c r="K43" s="67"/>
      <c r="L43" s="67"/>
      <c r="M43" s="67"/>
      <c r="N43" s="67"/>
      <c r="O43" s="67"/>
      <c r="P43" s="67"/>
      <c r="Q43" s="67"/>
      <c r="R43" s="67"/>
      <c r="S43" s="67"/>
      <c r="T43" s="67"/>
      <c r="U43" s="67"/>
      <c r="V43" s="67"/>
      <c r="W43" s="67"/>
      <c r="X43" s="67"/>
      <c r="Y43" s="67"/>
      <c r="Z43" s="67"/>
    </row>
    <row r="44" spans="1:26" ht="12.75" customHeight="1" x14ac:dyDescent="0.2">
      <c r="A44" s="172" t="s">
        <v>182</v>
      </c>
      <c r="B44" s="173"/>
      <c r="C44" s="111"/>
      <c r="D44" s="111"/>
      <c r="E44" s="133"/>
      <c r="F44" s="50" t="s">
        <v>183</v>
      </c>
      <c r="G44" s="172" t="s">
        <v>161</v>
      </c>
      <c r="H44" s="174"/>
      <c r="I44" s="133"/>
      <c r="J44" s="67"/>
      <c r="K44" s="67"/>
      <c r="L44" s="67"/>
      <c r="M44" s="67"/>
      <c r="N44" s="67"/>
      <c r="O44" s="67"/>
      <c r="P44" s="67"/>
      <c r="Q44" s="67"/>
      <c r="R44" s="67"/>
      <c r="S44" s="67"/>
      <c r="T44" s="67"/>
      <c r="U44" s="67"/>
      <c r="V44" s="67"/>
      <c r="W44" s="67"/>
      <c r="X44" s="67"/>
      <c r="Y44" s="67"/>
      <c r="Z44" s="67"/>
    </row>
    <row r="45" spans="1:26" ht="12.75" customHeight="1" x14ac:dyDescent="0.2">
      <c r="A45" s="97"/>
      <c r="B45" s="114"/>
      <c r="C45" s="115"/>
      <c r="D45" s="115"/>
      <c r="E45" s="134"/>
      <c r="F45" s="52"/>
      <c r="G45" s="97"/>
      <c r="H45" s="114"/>
      <c r="I45" s="134"/>
      <c r="J45" s="67"/>
      <c r="K45" s="67"/>
      <c r="L45" s="67"/>
      <c r="M45" s="67"/>
      <c r="N45" s="67"/>
      <c r="O45" s="67"/>
      <c r="P45" s="67"/>
      <c r="Q45" s="67"/>
      <c r="R45" s="67"/>
      <c r="S45" s="67"/>
      <c r="T45" s="67"/>
      <c r="U45" s="67"/>
      <c r="V45" s="67"/>
      <c r="W45" s="67"/>
      <c r="X45" s="67"/>
      <c r="Y45" s="67"/>
      <c r="Z45" s="67"/>
    </row>
    <row r="46" spans="1:26" ht="12.75" customHeight="1" x14ac:dyDescent="0.2">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ht="12.75" customHeight="1" x14ac:dyDescent="0.2">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ht="12.75" customHeight="1" x14ac:dyDescent="0.2">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ht="12.75" customHeight="1" x14ac:dyDescent="0.2">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ht="12.75" customHeight="1" x14ac:dyDescent="0.2">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ht="12.75" customHeight="1" x14ac:dyDescent="0.2">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ht="12.75" customHeight="1" x14ac:dyDescent="0.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ht="12.75" customHeight="1" x14ac:dyDescent="0.2">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ht="12.75" customHeight="1" x14ac:dyDescent="0.2">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ht="12.75" customHeight="1" x14ac:dyDescent="0.2">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ht="12.75" customHeight="1" x14ac:dyDescent="0.2">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ht="12.75" customHeight="1" x14ac:dyDescent="0.2">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ht="12.75" customHeight="1" x14ac:dyDescent="0.2">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ht="12.75" customHeight="1" x14ac:dyDescent="0.2">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2.75" customHeight="1" x14ac:dyDescent="0.2">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ht="12.75" customHeight="1" x14ac:dyDescent="0.2">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2.75" customHeight="1" x14ac:dyDescent="0.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ht="12.75" customHeight="1" x14ac:dyDescent="0.2">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ht="12.75" customHeight="1" x14ac:dyDescent="0.2">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ht="12.75" customHeight="1" x14ac:dyDescent="0.2">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ht="12.75" customHeight="1" x14ac:dyDescent="0.2">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ht="12.75" customHeight="1" x14ac:dyDescent="0.2">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ht="12.75" customHeight="1" x14ac:dyDescent="0.2">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ht="12.75" customHeight="1" x14ac:dyDescent="0.2">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ht="12.75" customHeight="1" x14ac:dyDescent="0.2">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ht="12.75" customHeight="1" x14ac:dyDescent="0.2">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ht="12.75" customHeight="1" x14ac:dyDescent="0.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ht="12.75" customHeight="1" x14ac:dyDescent="0.2">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ht="12.75" customHeight="1"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ht="12.75" customHeight="1" x14ac:dyDescent="0.2">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ht="12.75" customHeight="1" x14ac:dyDescent="0.2">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ht="12.75" customHeight="1" x14ac:dyDescent="0.2">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ht="12.75" customHeight="1" x14ac:dyDescent="0.2">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ht="12.75" customHeight="1" x14ac:dyDescent="0.2">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2.75" customHeight="1" x14ac:dyDescent="0.2">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2.75" customHeight="1" x14ac:dyDescent="0.2">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2.75" customHeight="1" x14ac:dyDescent="0.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2.75" customHeight="1" x14ac:dyDescent="0.2">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2.75" customHeight="1" x14ac:dyDescent="0.2">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2.75" customHeight="1" x14ac:dyDescent="0.2">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2.75" customHeight="1" x14ac:dyDescent="0.2">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2.75" customHeight="1" x14ac:dyDescent="0.2">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2.75" customHeight="1" x14ac:dyDescent="0.2">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2.75" customHeight="1" x14ac:dyDescent="0.2">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2.75" customHeight="1" x14ac:dyDescent="0.2">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2.75" customHeight="1" x14ac:dyDescent="0.2">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2.75" customHeight="1" x14ac:dyDescent="0.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2.75" customHeight="1" x14ac:dyDescent="0.2">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2.75" customHeight="1" x14ac:dyDescent="0.2">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2.75" customHeight="1" x14ac:dyDescent="0.2">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2.75" customHeight="1" x14ac:dyDescent="0.2">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2.75" customHeight="1" x14ac:dyDescent="0.2">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2.75" customHeight="1" x14ac:dyDescent="0.2">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2.75" customHeight="1" x14ac:dyDescent="0.2">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2.75" customHeight="1" x14ac:dyDescent="0.2">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2.75" customHeight="1" x14ac:dyDescent="0.2">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2.75" customHeight="1" x14ac:dyDescent="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2.75" customHeight="1" x14ac:dyDescent="0.2">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2.75" customHeight="1" x14ac:dyDescent="0.2">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2.75" customHeight="1" x14ac:dyDescent="0.2">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2.75" customHeight="1" x14ac:dyDescent="0.2">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2.75" customHeight="1" x14ac:dyDescent="0.2">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2.75" customHeight="1" x14ac:dyDescent="0.2">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2.75" customHeight="1" x14ac:dyDescent="0.2">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2.75" customHeight="1" x14ac:dyDescent="0.2">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2.75" customHeight="1" x14ac:dyDescent="0.2">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2.75" customHeight="1" x14ac:dyDescent="0.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2.75" customHeight="1" x14ac:dyDescent="0.2">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2.75" customHeight="1" x14ac:dyDescent="0.2">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2.75" customHeight="1" x14ac:dyDescent="0.2">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2.75" customHeight="1" x14ac:dyDescent="0.2">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2.75" customHeight="1"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2.75" customHeight="1"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2.75" customHeight="1"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2.75" customHeight="1"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2.7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2.7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2.7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2.7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2.7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2.7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2.7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2.7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2.7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2.7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2.7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2.7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2.7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2.7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2.7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2.7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2.7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2.7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2.7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2.7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2.7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2.7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2.7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2.7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2.7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2.7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2.7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2.7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2.7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2.7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2.7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2.7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2.7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2.7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2.7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2.7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2.7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2.7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2.7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2.7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2.7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2.7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2.7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2.7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2.7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2.7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2.7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2.7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2.7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2.7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2.7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2.7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2.7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2.7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2.7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2.7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2.7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2.7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2.7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2.7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2.7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2.7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2.7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2.7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2.7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2.7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2.7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2.7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2.7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2.7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2.7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2.7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2.7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2.7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2.7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2.7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2.7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2.7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2.7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2.7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2.7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2.7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2.7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2.7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2.7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2.7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2.7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2.7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2.7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2.7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2.7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2.7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2.7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2.7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2.7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2.7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2.7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2.75"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2.75"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2.75"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2.75"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2.75" customHeight="1" x14ac:dyDescent="0.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2.75" customHeight="1" x14ac:dyDescent="0.2">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2.75" customHeight="1" x14ac:dyDescent="0.2">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2.75" customHeight="1" x14ac:dyDescent="0.2">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2.75" customHeight="1" x14ac:dyDescent="0.2">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2.75" customHeight="1" x14ac:dyDescent="0.2">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2.75" customHeight="1" x14ac:dyDescent="0.2">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2.75" customHeight="1" x14ac:dyDescent="0.2">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2.75" customHeight="1" x14ac:dyDescent="0.2">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2.75" customHeight="1" x14ac:dyDescent="0.2">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2.75" customHeight="1" x14ac:dyDescent="0.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2.75" customHeight="1" x14ac:dyDescent="0.2">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2.75" customHeight="1" x14ac:dyDescent="0.2">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2.75" customHeight="1" x14ac:dyDescent="0.2">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2.75" customHeight="1" x14ac:dyDescent="0.2">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2.75" customHeight="1" x14ac:dyDescent="0.2">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2.75" customHeight="1" x14ac:dyDescent="0.2">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2.75" customHeight="1" x14ac:dyDescent="0.2">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2.75" customHeight="1" x14ac:dyDescent="0.2">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2.75" customHeight="1" x14ac:dyDescent="0.2">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2.75" customHeight="1" x14ac:dyDescent="0.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2.75" customHeight="1" x14ac:dyDescent="0.2">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2.75" customHeight="1" x14ac:dyDescent="0.2">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2.75" customHeight="1" x14ac:dyDescent="0.2">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2.75" customHeight="1" x14ac:dyDescent="0.2">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2.75" customHeight="1" x14ac:dyDescent="0.2">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2.75" customHeight="1" x14ac:dyDescent="0.2">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2.75" customHeight="1" x14ac:dyDescent="0.2">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2.75" customHeight="1" x14ac:dyDescent="0.2">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2.75" customHeight="1" x14ac:dyDescent="0.2">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2.75" customHeight="1" x14ac:dyDescent="0.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2.75" customHeight="1" x14ac:dyDescent="0.2">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2.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2.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2.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2.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2.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2.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2.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2.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2.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2.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2.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2.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2.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2.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2.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2.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2.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2.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2.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2.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2.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2.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2.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2.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2.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2.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2.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2.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2.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2.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2.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2.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2.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2.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2.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2.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2.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2.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2.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2.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2.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2.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2.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2.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2.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2.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2.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2.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2.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2.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2.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2.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2.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2.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2.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2.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2.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2.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2.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2.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2.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2.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2.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2.75" customHeight="1" x14ac:dyDescent="0.2">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2.75" customHeight="1" x14ac:dyDescent="0.2">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2.75" customHeight="1" x14ac:dyDescent="0.2">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2.75" customHeight="1" x14ac:dyDescent="0.2">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2.75" customHeight="1" x14ac:dyDescent="0.2">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2.75" customHeight="1" x14ac:dyDescent="0.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2.75" customHeight="1" x14ac:dyDescent="0.2">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2.75" customHeight="1" x14ac:dyDescent="0.2">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2.75" customHeight="1" x14ac:dyDescent="0.2">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2.75" customHeight="1" x14ac:dyDescent="0.2">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2.75" customHeight="1" x14ac:dyDescent="0.2">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2.75" customHeight="1" x14ac:dyDescent="0.2">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2.75" customHeight="1" x14ac:dyDescent="0.2">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2.75" customHeight="1" x14ac:dyDescent="0.2">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2.75" customHeight="1" x14ac:dyDescent="0.2">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2.75" customHeight="1" x14ac:dyDescent="0.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2.75" customHeight="1" x14ac:dyDescent="0.2">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2.75" customHeight="1" x14ac:dyDescent="0.2">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2.75" customHeight="1" x14ac:dyDescent="0.2">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2.75" customHeight="1" x14ac:dyDescent="0.2">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2.75" customHeight="1" x14ac:dyDescent="0.2">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2.75" customHeight="1" x14ac:dyDescent="0.2">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2.75" customHeight="1" x14ac:dyDescent="0.2">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2.75" customHeight="1" x14ac:dyDescent="0.2">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2.75" customHeight="1" x14ac:dyDescent="0.2">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2.75" customHeight="1" x14ac:dyDescent="0.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2.75" customHeight="1" x14ac:dyDescent="0.2">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2.75" customHeight="1" x14ac:dyDescent="0.2">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2.75" customHeight="1" x14ac:dyDescent="0.2">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2.75" customHeight="1" x14ac:dyDescent="0.2">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2.75" customHeight="1" x14ac:dyDescent="0.2">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2.75" customHeight="1" x14ac:dyDescent="0.2">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2.75" customHeight="1" x14ac:dyDescent="0.2">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2.75" customHeight="1" x14ac:dyDescent="0.2">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2.75" customHeight="1" x14ac:dyDescent="0.2">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2.75" customHeight="1" x14ac:dyDescent="0.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2.75" customHeight="1" x14ac:dyDescent="0.2">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2.75" customHeight="1" x14ac:dyDescent="0.2">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2.75" customHeight="1" x14ac:dyDescent="0.2">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2.75" customHeight="1" x14ac:dyDescent="0.2">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2.75" customHeight="1" x14ac:dyDescent="0.2">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2.75" customHeight="1" x14ac:dyDescent="0.2">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2.75" customHeight="1" x14ac:dyDescent="0.2">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2.75" customHeight="1" x14ac:dyDescent="0.2">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2.75" customHeight="1" x14ac:dyDescent="0.2">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2.75" customHeight="1" x14ac:dyDescent="0.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2.75" customHeight="1" x14ac:dyDescent="0.2">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2.75" customHeight="1" x14ac:dyDescent="0.2">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2.75" customHeight="1" x14ac:dyDescent="0.2">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2.75" customHeight="1" x14ac:dyDescent="0.2">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2.75" customHeight="1" x14ac:dyDescent="0.2">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2.75" customHeight="1" x14ac:dyDescent="0.2">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2.75" customHeight="1" x14ac:dyDescent="0.2">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2.75" customHeight="1" x14ac:dyDescent="0.2">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2.75" customHeight="1" x14ac:dyDescent="0.2">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2.75" customHeight="1" x14ac:dyDescent="0.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2.75" customHeight="1" x14ac:dyDescent="0.2">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2.75" customHeight="1" x14ac:dyDescent="0.2">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2.75" customHeight="1" x14ac:dyDescent="0.2">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2.75" customHeight="1" x14ac:dyDescent="0.2">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2.75" customHeight="1" x14ac:dyDescent="0.2">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2.75" customHeight="1" x14ac:dyDescent="0.2">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2.75" customHeight="1" x14ac:dyDescent="0.2">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2.75" customHeight="1" x14ac:dyDescent="0.2">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2.75" customHeight="1" x14ac:dyDescent="0.2">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2.75" customHeight="1" x14ac:dyDescent="0.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2.75" customHeight="1" x14ac:dyDescent="0.2">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2.75" customHeight="1" x14ac:dyDescent="0.2">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2.75" customHeight="1" x14ac:dyDescent="0.2">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2.75" customHeight="1" x14ac:dyDescent="0.2">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2.75" customHeight="1" x14ac:dyDescent="0.2">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2.75" customHeight="1" x14ac:dyDescent="0.2">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2.75" customHeight="1" x14ac:dyDescent="0.2">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2.75" customHeight="1" x14ac:dyDescent="0.2">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2.75" customHeight="1" x14ac:dyDescent="0.2">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2.75" customHeight="1" x14ac:dyDescent="0.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2.75" customHeight="1" x14ac:dyDescent="0.2">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2.75" customHeight="1" x14ac:dyDescent="0.2">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2.75" customHeight="1" x14ac:dyDescent="0.2">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2.75" customHeight="1" x14ac:dyDescent="0.2">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2.75" customHeight="1" x14ac:dyDescent="0.2">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2.75" customHeight="1" x14ac:dyDescent="0.2">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2.75" customHeight="1" x14ac:dyDescent="0.2">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2.75" customHeight="1" x14ac:dyDescent="0.2">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2.75" customHeight="1" x14ac:dyDescent="0.2">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2.75" customHeight="1" x14ac:dyDescent="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2.75" customHeight="1" x14ac:dyDescent="0.2">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2.75" customHeight="1" x14ac:dyDescent="0.2">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2.75" customHeight="1" x14ac:dyDescent="0.2">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2.75" customHeight="1" x14ac:dyDescent="0.2">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2.75" customHeight="1" x14ac:dyDescent="0.2">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2.75" customHeight="1" x14ac:dyDescent="0.2">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2.75" customHeight="1" x14ac:dyDescent="0.2">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2.75" customHeight="1" x14ac:dyDescent="0.2">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2.75" customHeight="1" x14ac:dyDescent="0.2">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2.75" customHeight="1" x14ac:dyDescent="0.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2.75" customHeight="1" x14ac:dyDescent="0.2">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2.75" customHeight="1" x14ac:dyDescent="0.2">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2.75" customHeight="1" x14ac:dyDescent="0.2">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2.75" customHeight="1" x14ac:dyDescent="0.2">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2.75" customHeight="1" x14ac:dyDescent="0.2">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2.75" customHeight="1" x14ac:dyDescent="0.2">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2.75" customHeight="1" x14ac:dyDescent="0.2">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2.75" customHeight="1" x14ac:dyDescent="0.2">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2.75" customHeight="1" x14ac:dyDescent="0.2">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2.75" customHeight="1" x14ac:dyDescent="0.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2.75" customHeight="1" x14ac:dyDescent="0.2">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2.75" customHeight="1" x14ac:dyDescent="0.2">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2.75" customHeight="1" x14ac:dyDescent="0.2">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2.75" customHeight="1" x14ac:dyDescent="0.2">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2.75" customHeight="1" x14ac:dyDescent="0.2">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2.75" customHeight="1" x14ac:dyDescent="0.2">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2.75" customHeight="1" x14ac:dyDescent="0.2">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2.75" customHeight="1" x14ac:dyDescent="0.2">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2.75" customHeight="1" x14ac:dyDescent="0.2">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2.75" customHeight="1" x14ac:dyDescent="0.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2.75" customHeight="1" x14ac:dyDescent="0.2">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2.75" customHeight="1" x14ac:dyDescent="0.2">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2.75" customHeight="1" x14ac:dyDescent="0.2">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2.75" customHeight="1" x14ac:dyDescent="0.2">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2.75" customHeight="1" x14ac:dyDescent="0.2">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2.75" customHeight="1" x14ac:dyDescent="0.2">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2.75" customHeight="1" x14ac:dyDescent="0.2">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2.75" customHeight="1" x14ac:dyDescent="0.2">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2.75" customHeight="1" x14ac:dyDescent="0.2">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2.75" customHeight="1" x14ac:dyDescent="0.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2.75" customHeight="1" x14ac:dyDescent="0.2">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2.75" customHeight="1" x14ac:dyDescent="0.2">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2.75" customHeight="1" x14ac:dyDescent="0.2">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2.75" customHeight="1" x14ac:dyDescent="0.2">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2.75" customHeight="1" x14ac:dyDescent="0.2">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2.75" customHeight="1" x14ac:dyDescent="0.2">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2.75" customHeight="1" x14ac:dyDescent="0.2">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2.75" customHeight="1" x14ac:dyDescent="0.2">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2.75" customHeight="1" x14ac:dyDescent="0.2">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2.75" customHeight="1" x14ac:dyDescent="0.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2.75" customHeight="1" x14ac:dyDescent="0.2">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2.75" customHeight="1" x14ac:dyDescent="0.2">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2.75" customHeight="1" x14ac:dyDescent="0.2">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2.75" customHeight="1" x14ac:dyDescent="0.2">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2.75" customHeight="1" x14ac:dyDescent="0.2">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2.75" customHeight="1" x14ac:dyDescent="0.2">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2.75" customHeight="1" x14ac:dyDescent="0.2">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2.75" customHeight="1" x14ac:dyDescent="0.2">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2.75" customHeight="1" x14ac:dyDescent="0.2">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2.75" customHeight="1" x14ac:dyDescent="0.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2.75" customHeight="1" x14ac:dyDescent="0.2">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2.75" customHeight="1" x14ac:dyDescent="0.2">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2.75" customHeight="1" x14ac:dyDescent="0.2">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2.75" customHeight="1" x14ac:dyDescent="0.2">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2.75" customHeight="1" x14ac:dyDescent="0.2">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2.75" customHeight="1" x14ac:dyDescent="0.2">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2.75" customHeight="1" x14ac:dyDescent="0.2">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2.75" customHeight="1" x14ac:dyDescent="0.2">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2.75" customHeight="1" x14ac:dyDescent="0.2">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2.75" customHeight="1" x14ac:dyDescent="0.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2.75" customHeight="1" x14ac:dyDescent="0.2">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2.75" customHeight="1" x14ac:dyDescent="0.2">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2.75" customHeight="1" x14ac:dyDescent="0.2">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2.75" customHeight="1" x14ac:dyDescent="0.2">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2.75" customHeight="1" x14ac:dyDescent="0.2">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2.75" customHeight="1" x14ac:dyDescent="0.2">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2.75" customHeight="1" x14ac:dyDescent="0.2">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2.75" customHeight="1" x14ac:dyDescent="0.2">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2.75" customHeight="1" x14ac:dyDescent="0.2">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2.75" customHeight="1" x14ac:dyDescent="0.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2.75" customHeight="1" x14ac:dyDescent="0.2">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2.75" customHeight="1" x14ac:dyDescent="0.2">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2.75" customHeight="1" x14ac:dyDescent="0.2">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2.75" customHeight="1" x14ac:dyDescent="0.2">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2.75" customHeight="1" x14ac:dyDescent="0.2">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2.75" customHeight="1" x14ac:dyDescent="0.2">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2.75" customHeight="1" x14ac:dyDescent="0.2">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2.75" customHeight="1" x14ac:dyDescent="0.2">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2.75" customHeight="1" x14ac:dyDescent="0.2">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2.75" customHeight="1" x14ac:dyDescent="0.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2.75" customHeight="1" x14ac:dyDescent="0.2">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2.75" customHeight="1" x14ac:dyDescent="0.2">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2.75" customHeight="1" x14ac:dyDescent="0.2">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2.75" customHeight="1" x14ac:dyDescent="0.2">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2.75" customHeight="1" x14ac:dyDescent="0.2">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2.75" customHeight="1" x14ac:dyDescent="0.2">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2.75" customHeight="1" x14ac:dyDescent="0.2">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2.75" customHeight="1" x14ac:dyDescent="0.2">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2.75" customHeight="1" x14ac:dyDescent="0.2">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2.75" customHeight="1" x14ac:dyDescent="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2.75" customHeight="1" x14ac:dyDescent="0.2">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2.75" customHeight="1" x14ac:dyDescent="0.2">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2.75" customHeight="1" x14ac:dyDescent="0.2">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2.75" customHeight="1" x14ac:dyDescent="0.2">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2.75" customHeight="1" x14ac:dyDescent="0.2">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2.75" customHeight="1" x14ac:dyDescent="0.2">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2.75" customHeight="1" x14ac:dyDescent="0.2">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2.75" customHeight="1" x14ac:dyDescent="0.2">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2.75" customHeight="1" x14ac:dyDescent="0.2">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2.75" customHeight="1" x14ac:dyDescent="0.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2.75" customHeight="1" x14ac:dyDescent="0.2">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2.75" customHeight="1" x14ac:dyDescent="0.2">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2.75" customHeight="1" x14ac:dyDescent="0.2">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2.75" customHeight="1" x14ac:dyDescent="0.2">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2.75" customHeight="1" x14ac:dyDescent="0.2">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2.75" customHeight="1" x14ac:dyDescent="0.2">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2.75" customHeight="1" x14ac:dyDescent="0.2">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2.75" customHeight="1" x14ac:dyDescent="0.2">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2.75" customHeight="1" x14ac:dyDescent="0.2">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2.75" customHeight="1" x14ac:dyDescent="0.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2.75" customHeight="1" x14ac:dyDescent="0.2">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2.75" customHeight="1" x14ac:dyDescent="0.2">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2.75" customHeight="1" x14ac:dyDescent="0.2">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2.75" customHeight="1" x14ac:dyDescent="0.2">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2.75" customHeight="1" x14ac:dyDescent="0.2">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2.75" customHeight="1" x14ac:dyDescent="0.2">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2.75" customHeight="1" x14ac:dyDescent="0.2">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2.75" customHeight="1" x14ac:dyDescent="0.2">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2.75" customHeight="1" x14ac:dyDescent="0.2">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2.75" customHeight="1" x14ac:dyDescent="0.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2.75" customHeight="1" x14ac:dyDescent="0.2">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2.75" customHeight="1" x14ac:dyDescent="0.2">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2.75" customHeight="1" x14ac:dyDescent="0.2">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2.75" customHeight="1" x14ac:dyDescent="0.2">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2.75" customHeight="1" x14ac:dyDescent="0.2">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2.75" customHeight="1" x14ac:dyDescent="0.2">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2.75" customHeight="1" x14ac:dyDescent="0.2">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2.75" customHeight="1" x14ac:dyDescent="0.2">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2.75" customHeight="1" x14ac:dyDescent="0.2">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2.75" customHeight="1" x14ac:dyDescent="0.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2.75" customHeight="1" x14ac:dyDescent="0.2">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2.75" customHeight="1" x14ac:dyDescent="0.2">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2.75" customHeight="1" x14ac:dyDescent="0.2">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2.75" customHeight="1" x14ac:dyDescent="0.2">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2.75" customHeight="1" x14ac:dyDescent="0.2">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2.75" customHeight="1" x14ac:dyDescent="0.2">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2.75" customHeight="1" x14ac:dyDescent="0.2">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2.75" customHeight="1" x14ac:dyDescent="0.2">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2.75" customHeight="1" x14ac:dyDescent="0.2">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2.75" customHeight="1" x14ac:dyDescent="0.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2.75" customHeight="1" x14ac:dyDescent="0.2">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2.75" customHeight="1" x14ac:dyDescent="0.2">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2.75" customHeight="1" x14ac:dyDescent="0.2">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2.75" customHeight="1" x14ac:dyDescent="0.2">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2.75" customHeight="1" x14ac:dyDescent="0.2">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2.75" customHeight="1" x14ac:dyDescent="0.2">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2.75" customHeight="1" x14ac:dyDescent="0.2">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2.75" customHeight="1" x14ac:dyDescent="0.2">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2.75" customHeight="1" x14ac:dyDescent="0.2">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2.75" customHeight="1" x14ac:dyDescent="0.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2.75" customHeight="1" x14ac:dyDescent="0.2">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2.75" customHeight="1" x14ac:dyDescent="0.2">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2.75" customHeight="1" x14ac:dyDescent="0.2">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2.75" customHeight="1" x14ac:dyDescent="0.2">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2.75" customHeight="1" x14ac:dyDescent="0.2">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2.75" customHeight="1" x14ac:dyDescent="0.2">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2.75" customHeight="1" x14ac:dyDescent="0.2">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2.75" customHeight="1" x14ac:dyDescent="0.2">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2.75" customHeight="1" x14ac:dyDescent="0.2">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2.75" customHeight="1" x14ac:dyDescent="0.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2.75" customHeight="1" x14ac:dyDescent="0.2">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2.75" customHeight="1" x14ac:dyDescent="0.2">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2.75" customHeight="1" x14ac:dyDescent="0.2">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2.75" customHeight="1" x14ac:dyDescent="0.2">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2.75" customHeight="1" x14ac:dyDescent="0.2">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2.75" customHeight="1" x14ac:dyDescent="0.2">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2.75" customHeight="1" x14ac:dyDescent="0.2">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2.75" customHeight="1" x14ac:dyDescent="0.2">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2.75" customHeight="1" x14ac:dyDescent="0.2">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2.75" customHeight="1" x14ac:dyDescent="0.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2.75" customHeight="1" x14ac:dyDescent="0.2">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2.75" customHeight="1" x14ac:dyDescent="0.2">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2.75" customHeight="1" x14ac:dyDescent="0.2">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2.75" customHeight="1" x14ac:dyDescent="0.2">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2.75" customHeight="1" x14ac:dyDescent="0.2">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2.75" customHeight="1" x14ac:dyDescent="0.2">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2.75" customHeight="1" x14ac:dyDescent="0.2">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2.75" customHeight="1" x14ac:dyDescent="0.2">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2.75" customHeight="1" x14ac:dyDescent="0.2">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2.75" customHeight="1" x14ac:dyDescent="0.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2.75" customHeight="1" x14ac:dyDescent="0.2">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2.75" customHeight="1" x14ac:dyDescent="0.2">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2.75" customHeight="1" x14ac:dyDescent="0.2">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2.75" customHeight="1" x14ac:dyDescent="0.2">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2.75" customHeight="1" x14ac:dyDescent="0.2">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2.75" customHeight="1" x14ac:dyDescent="0.2">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2.75" customHeight="1" x14ac:dyDescent="0.2">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2.75" customHeight="1" x14ac:dyDescent="0.2">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2.75" customHeight="1" x14ac:dyDescent="0.2">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2.75" customHeight="1" x14ac:dyDescent="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2.75" customHeight="1" x14ac:dyDescent="0.2">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2.75" customHeight="1" x14ac:dyDescent="0.2">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2.75" customHeight="1" x14ac:dyDescent="0.2">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2.75" customHeight="1" x14ac:dyDescent="0.2">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2.75" customHeight="1" x14ac:dyDescent="0.2">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2.75" customHeight="1" x14ac:dyDescent="0.2">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2.75" customHeight="1" x14ac:dyDescent="0.2">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2.75" customHeight="1" x14ac:dyDescent="0.2">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2.75" customHeight="1" x14ac:dyDescent="0.2">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2.75" customHeight="1" x14ac:dyDescent="0.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2.75" customHeight="1" x14ac:dyDescent="0.2">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2.75" customHeight="1" x14ac:dyDescent="0.2">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2.75" customHeight="1" x14ac:dyDescent="0.2">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2.75" customHeight="1" x14ac:dyDescent="0.2">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2.75" customHeight="1" x14ac:dyDescent="0.2">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2.75" customHeight="1" x14ac:dyDescent="0.2">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2.75" customHeight="1" x14ac:dyDescent="0.2">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2.75" customHeight="1" x14ac:dyDescent="0.2">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2.75" customHeight="1" x14ac:dyDescent="0.2">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2.75" customHeight="1" x14ac:dyDescent="0.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2.75" customHeight="1" x14ac:dyDescent="0.2">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2.75" customHeight="1" x14ac:dyDescent="0.2">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2.75" customHeight="1" x14ac:dyDescent="0.2">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2.75" customHeight="1" x14ac:dyDescent="0.2">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2.75" customHeight="1" x14ac:dyDescent="0.2">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2.75" customHeight="1" x14ac:dyDescent="0.2">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2.75" customHeight="1" x14ac:dyDescent="0.2">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2.75" customHeight="1" x14ac:dyDescent="0.2">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2.75" customHeight="1" x14ac:dyDescent="0.2">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2.75" customHeight="1" x14ac:dyDescent="0.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2.75" customHeight="1" x14ac:dyDescent="0.2">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2.75" customHeight="1" x14ac:dyDescent="0.2">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2.75" customHeight="1" x14ac:dyDescent="0.2">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2.75" customHeight="1" x14ac:dyDescent="0.2">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2.75" customHeight="1" x14ac:dyDescent="0.2">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2.75" customHeight="1" x14ac:dyDescent="0.2">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2.75" customHeight="1" x14ac:dyDescent="0.2">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2.75" customHeight="1" x14ac:dyDescent="0.2">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2.75" customHeight="1" x14ac:dyDescent="0.2">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2.75" customHeight="1" x14ac:dyDescent="0.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2.75" customHeight="1" x14ac:dyDescent="0.2">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2.75" customHeight="1" x14ac:dyDescent="0.2">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2.75" customHeight="1" x14ac:dyDescent="0.2">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2.75" customHeight="1" x14ac:dyDescent="0.2">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2.75" customHeight="1" x14ac:dyDescent="0.2">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2.75" customHeight="1" x14ac:dyDescent="0.2">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2.75" customHeight="1" x14ac:dyDescent="0.2">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2.75" customHeight="1" x14ac:dyDescent="0.2">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2.75" customHeight="1" x14ac:dyDescent="0.2">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2.75" customHeight="1" x14ac:dyDescent="0.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2.75" customHeight="1" x14ac:dyDescent="0.2">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2.75" customHeight="1" x14ac:dyDescent="0.2">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2.75" customHeight="1" x14ac:dyDescent="0.2">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2.75" customHeight="1" x14ac:dyDescent="0.2">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2.75" customHeight="1" x14ac:dyDescent="0.2">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2.75" customHeight="1" x14ac:dyDescent="0.2">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2.75" customHeight="1" x14ac:dyDescent="0.2">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2.75" customHeight="1" x14ac:dyDescent="0.2">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2.75" customHeight="1" x14ac:dyDescent="0.2">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2.75" customHeight="1" x14ac:dyDescent="0.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2.75" customHeight="1" x14ac:dyDescent="0.2">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2.75" customHeight="1" x14ac:dyDescent="0.2">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2.75" customHeight="1" x14ac:dyDescent="0.2">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2.75" customHeight="1" x14ac:dyDescent="0.2">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2.75" customHeight="1" x14ac:dyDescent="0.2">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2.75" customHeight="1" x14ac:dyDescent="0.2">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2.75" customHeight="1" x14ac:dyDescent="0.2">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2.75" customHeight="1" x14ac:dyDescent="0.2">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2.75" customHeight="1" x14ac:dyDescent="0.2">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2.75" customHeight="1" x14ac:dyDescent="0.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2.75" customHeight="1" x14ac:dyDescent="0.2">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2.75" customHeight="1" x14ac:dyDescent="0.2">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2.75" customHeight="1" x14ac:dyDescent="0.2">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2.75" customHeight="1" x14ac:dyDescent="0.2">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2.75" customHeight="1" x14ac:dyDescent="0.2">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2.75" customHeight="1" x14ac:dyDescent="0.2">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2.75" customHeight="1" x14ac:dyDescent="0.2">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2.75" customHeight="1" x14ac:dyDescent="0.2">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2.75" customHeight="1" x14ac:dyDescent="0.2">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2.75" customHeight="1" x14ac:dyDescent="0.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2.75" customHeight="1" x14ac:dyDescent="0.2">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2.75" customHeight="1" x14ac:dyDescent="0.2">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2.75" customHeight="1" x14ac:dyDescent="0.2">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2.75" customHeight="1" x14ac:dyDescent="0.2">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2.75" customHeight="1" x14ac:dyDescent="0.2">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2.75" customHeight="1" x14ac:dyDescent="0.2">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2.75" customHeight="1" x14ac:dyDescent="0.2">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2.75" customHeight="1" x14ac:dyDescent="0.2">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2.75" customHeight="1" x14ac:dyDescent="0.2">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2.75" customHeight="1" x14ac:dyDescent="0.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2.75" customHeight="1" x14ac:dyDescent="0.2">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2.75" customHeight="1" x14ac:dyDescent="0.2">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2.75" customHeight="1" x14ac:dyDescent="0.2">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2.75" customHeight="1" x14ac:dyDescent="0.2">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2.75" customHeight="1" x14ac:dyDescent="0.2">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2.75" customHeight="1" x14ac:dyDescent="0.2">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2.75" customHeight="1" x14ac:dyDescent="0.2">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2.75" customHeight="1" x14ac:dyDescent="0.2">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2.75" customHeight="1" x14ac:dyDescent="0.2">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2.75" customHeight="1" x14ac:dyDescent="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2.75" customHeight="1" x14ac:dyDescent="0.2">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2.75" customHeight="1" x14ac:dyDescent="0.2">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2.75" customHeight="1" x14ac:dyDescent="0.2">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2.75" customHeight="1" x14ac:dyDescent="0.2">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2.75" customHeight="1" x14ac:dyDescent="0.2">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2.75" customHeight="1" x14ac:dyDescent="0.2">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2.75" customHeight="1" x14ac:dyDescent="0.2">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2.75" customHeight="1" x14ac:dyDescent="0.2">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2.75" customHeight="1" x14ac:dyDescent="0.2">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2.75" customHeight="1" x14ac:dyDescent="0.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2.75" customHeight="1" x14ac:dyDescent="0.2">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2.75" customHeight="1" x14ac:dyDescent="0.2">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2.75" customHeight="1" x14ac:dyDescent="0.2">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2.75" customHeight="1" x14ac:dyDescent="0.2">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2.75" customHeight="1" x14ac:dyDescent="0.2">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2.75" customHeight="1" x14ac:dyDescent="0.2">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2.75" customHeight="1" x14ac:dyDescent="0.2">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2.75" customHeight="1" x14ac:dyDescent="0.2">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2.75" customHeight="1" x14ac:dyDescent="0.2">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2.75" customHeight="1" x14ac:dyDescent="0.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2.75" customHeight="1" x14ac:dyDescent="0.2">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2.75" customHeight="1" x14ac:dyDescent="0.2">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2.75" customHeight="1" x14ac:dyDescent="0.2">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2.75" customHeight="1" x14ac:dyDescent="0.2">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2.75" customHeight="1" x14ac:dyDescent="0.2">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2.75" customHeight="1" x14ac:dyDescent="0.2">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2.75" customHeight="1" x14ac:dyDescent="0.2">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2.75" customHeight="1" x14ac:dyDescent="0.2">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2.75" customHeight="1" x14ac:dyDescent="0.2">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2.75" customHeight="1" x14ac:dyDescent="0.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2.75" customHeight="1" x14ac:dyDescent="0.2">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2.75" customHeight="1" x14ac:dyDescent="0.2">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2.75" customHeight="1" x14ac:dyDescent="0.2">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2.75" customHeight="1" x14ac:dyDescent="0.2">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2.75" customHeight="1" x14ac:dyDescent="0.2">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2.75" customHeight="1" x14ac:dyDescent="0.2">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2.75" customHeight="1" x14ac:dyDescent="0.2">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2.75" customHeight="1" x14ac:dyDescent="0.2">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2.75" customHeight="1" x14ac:dyDescent="0.2">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2.75" customHeight="1" x14ac:dyDescent="0.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2.75" customHeight="1" x14ac:dyDescent="0.2">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2.75" customHeight="1" x14ac:dyDescent="0.2">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2.75" customHeight="1" x14ac:dyDescent="0.2">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2.75" customHeight="1" x14ac:dyDescent="0.2">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2.75" customHeight="1" x14ac:dyDescent="0.2">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2.75" customHeight="1" x14ac:dyDescent="0.2">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2.75" customHeight="1" x14ac:dyDescent="0.2">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2.75" customHeight="1" x14ac:dyDescent="0.2">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2.75" customHeight="1" x14ac:dyDescent="0.2">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2.75" customHeight="1" x14ac:dyDescent="0.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2.75" customHeight="1" x14ac:dyDescent="0.2">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2.75" customHeight="1" x14ac:dyDescent="0.2">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2.75" customHeight="1" x14ac:dyDescent="0.2">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2.75" customHeight="1" x14ac:dyDescent="0.2">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2.75" customHeight="1" x14ac:dyDescent="0.2">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2.75" customHeight="1" x14ac:dyDescent="0.2">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2.75" customHeight="1" x14ac:dyDescent="0.2">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2.75" customHeight="1" x14ac:dyDescent="0.2">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2.75" customHeight="1" x14ac:dyDescent="0.2">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2.75" customHeight="1" x14ac:dyDescent="0.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2.75" customHeight="1" x14ac:dyDescent="0.2">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2.75" customHeight="1" x14ac:dyDescent="0.2">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2.75" customHeight="1" x14ac:dyDescent="0.2">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2.75" customHeight="1" x14ac:dyDescent="0.2">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2.75" customHeight="1" x14ac:dyDescent="0.2">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2.75" customHeight="1" x14ac:dyDescent="0.2">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2.75" customHeight="1" x14ac:dyDescent="0.2">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2.75" customHeight="1" x14ac:dyDescent="0.2">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2.75" customHeight="1" x14ac:dyDescent="0.2">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2.75" customHeight="1" x14ac:dyDescent="0.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2.75" customHeight="1" x14ac:dyDescent="0.2">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2.75" customHeight="1" x14ac:dyDescent="0.2">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2.75" customHeight="1" x14ac:dyDescent="0.2">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2.75" customHeight="1" x14ac:dyDescent="0.2">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2.75" customHeight="1" x14ac:dyDescent="0.2">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2.75" customHeight="1" x14ac:dyDescent="0.2">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2.75" customHeight="1" x14ac:dyDescent="0.2">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2.75" customHeight="1" x14ac:dyDescent="0.2">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2.75" customHeight="1" x14ac:dyDescent="0.2">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2.75" customHeight="1" x14ac:dyDescent="0.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2.75" customHeight="1" x14ac:dyDescent="0.2">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2.75" customHeight="1" x14ac:dyDescent="0.2">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2.75" customHeight="1" x14ac:dyDescent="0.2">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2.75" customHeight="1" x14ac:dyDescent="0.2">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2.75" customHeight="1" x14ac:dyDescent="0.2">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2.75" customHeight="1" x14ac:dyDescent="0.2">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2.75" customHeight="1" x14ac:dyDescent="0.2">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2.75" customHeight="1" x14ac:dyDescent="0.2">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2.75" customHeight="1" x14ac:dyDescent="0.2">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2.75" customHeight="1" x14ac:dyDescent="0.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2.75" customHeight="1" x14ac:dyDescent="0.2">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2.75" customHeight="1" x14ac:dyDescent="0.2">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2.75" customHeight="1" x14ac:dyDescent="0.2">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2.75" customHeight="1" x14ac:dyDescent="0.2">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2.75" customHeight="1" x14ac:dyDescent="0.2">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2.75" customHeight="1" x14ac:dyDescent="0.2">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2.75" customHeight="1" x14ac:dyDescent="0.2">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2.75" customHeight="1" x14ac:dyDescent="0.2">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2.75" customHeight="1" x14ac:dyDescent="0.2">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2.75" customHeight="1" x14ac:dyDescent="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2.75" customHeight="1" x14ac:dyDescent="0.2">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2.75" customHeight="1" x14ac:dyDescent="0.2">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2.75" customHeight="1" x14ac:dyDescent="0.2">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2.75" customHeight="1" x14ac:dyDescent="0.2">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2.75" customHeight="1" x14ac:dyDescent="0.2">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2.75" customHeight="1" x14ac:dyDescent="0.2">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2.75" customHeight="1" x14ac:dyDescent="0.2">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2.75" customHeight="1" x14ac:dyDescent="0.2">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2.75" customHeight="1" x14ac:dyDescent="0.2">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2.75" customHeight="1" x14ac:dyDescent="0.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2.75" customHeight="1" x14ac:dyDescent="0.2">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2.75" customHeight="1" x14ac:dyDescent="0.2">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2.75" customHeight="1" x14ac:dyDescent="0.2">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2.75" customHeight="1" x14ac:dyDescent="0.2">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2.75" customHeight="1" x14ac:dyDescent="0.2">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2.75" customHeight="1" x14ac:dyDescent="0.2">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2.75" customHeight="1" x14ac:dyDescent="0.2">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2.75" customHeight="1" x14ac:dyDescent="0.2">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2.75" customHeight="1" x14ac:dyDescent="0.2">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2.75" customHeight="1" x14ac:dyDescent="0.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2.75" customHeight="1" x14ac:dyDescent="0.2">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2.75" customHeight="1" x14ac:dyDescent="0.2">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2.75" customHeight="1" x14ac:dyDescent="0.2">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2.75" customHeight="1" x14ac:dyDescent="0.2">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2.75" customHeight="1" x14ac:dyDescent="0.2">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2.75" customHeight="1" x14ac:dyDescent="0.2">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2.75" customHeight="1" x14ac:dyDescent="0.2">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2.75" customHeight="1" x14ac:dyDescent="0.2">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2.75" customHeight="1" x14ac:dyDescent="0.2">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2.75" customHeight="1" x14ac:dyDescent="0.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2.75" customHeight="1" x14ac:dyDescent="0.2">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2.75" customHeight="1" x14ac:dyDescent="0.2">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2.75" customHeight="1" x14ac:dyDescent="0.2">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2.75" customHeight="1" x14ac:dyDescent="0.2">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2.75" customHeight="1" x14ac:dyDescent="0.2">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2.75" customHeight="1" x14ac:dyDescent="0.2">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2.75" customHeight="1" x14ac:dyDescent="0.2">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2.75" customHeight="1" x14ac:dyDescent="0.2">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2.75" customHeight="1" x14ac:dyDescent="0.2">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2.75" customHeight="1" x14ac:dyDescent="0.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2.75" customHeight="1" x14ac:dyDescent="0.2">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2.75" customHeight="1" x14ac:dyDescent="0.2">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2.75" customHeight="1" x14ac:dyDescent="0.2">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2.75" customHeight="1" x14ac:dyDescent="0.2">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2.75" customHeight="1" x14ac:dyDescent="0.2">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2.75" customHeight="1" x14ac:dyDescent="0.2">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2.75" customHeight="1" x14ac:dyDescent="0.2">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2.75" customHeight="1" x14ac:dyDescent="0.2">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2.75" customHeight="1" x14ac:dyDescent="0.2">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2.75" customHeight="1" x14ac:dyDescent="0.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2.75" customHeight="1" x14ac:dyDescent="0.2">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2.75" customHeight="1" x14ac:dyDescent="0.2">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2.75" customHeight="1" x14ac:dyDescent="0.2">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2.75" customHeight="1" x14ac:dyDescent="0.2">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2.75" customHeight="1" x14ac:dyDescent="0.2">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2.75" customHeight="1" x14ac:dyDescent="0.2">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2.75" customHeight="1" x14ac:dyDescent="0.2">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2.75" customHeight="1" x14ac:dyDescent="0.2">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2.75" customHeight="1" x14ac:dyDescent="0.2">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2.75" customHeight="1" x14ac:dyDescent="0.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2.75" customHeight="1" x14ac:dyDescent="0.2">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2.75" customHeight="1" x14ac:dyDescent="0.2">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2.75" customHeight="1" x14ac:dyDescent="0.2">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2.75" customHeight="1" x14ac:dyDescent="0.2">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2.75" customHeight="1" x14ac:dyDescent="0.2">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2.75" customHeight="1" x14ac:dyDescent="0.2">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2.75" customHeight="1" x14ac:dyDescent="0.2">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2.75" customHeight="1" x14ac:dyDescent="0.2">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2.75" customHeight="1" x14ac:dyDescent="0.2">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2.75" customHeight="1" x14ac:dyDescent="0.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2.75" customHeight="1" x14ac:dyDescent="0.2">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2.75" customHeight="1" x14ac:dyDescent="0.2">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2.75" customHeight="1" x14ac:dyDescent="0.2">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2.75" customHeight="1" x14ac:dyDescent="0.2">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2.75" customHeight="1" x14ac:dyDescent="0.2">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2.75" customHeight="1" x14ac:dyDescent="0.2">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2.75" customHeight="1" x14ac:dyDescent="0.2">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2.75" customHeight="1" x14ac:dyDescent="0.2">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2.75" customHeight="1" x14ac:dyDescent="0.2">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2.75" customHeight="1" x14ac:dyDescent="0.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2.75" customHeight="1" x14ac:dyDescent="0.2">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2.75" customHeight="1" x14ac:dyDescent="0.2">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2.75" customHeight="1" x14ac:dyDescent="0.2">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2.75" customHeight="1" x14ac:dyDescent="0.2">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2.75" customHeight="1" x14ac:dyDescent="0.2">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2.75" customHeight="1" x14ac:dyDescent="0.2">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2.75" customHeight="1" x14ac:dyDescent="0.2">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2.75" customHeight="1" x14ac:dyDescent="0.2">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2.75" customHeight="1" x14ac:dyDescent="0.2">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2.75" customHeight="1" x14ac:dyDescent="0.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2.75" customHeight="1" x14ac:dyDescent="0.2">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2.75" customHeight="1" x14ac:dyDescent="0.2">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2.75" customHeight="1" x14ac:dyDescent="0.2">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2.75" customHeight="1" x14ac:dyDescent="0.2">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2.75" customHeight="1" x14ac:dyDescent="0.2">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2.75" customHeight="1" x14ac:dyDescent="0.2">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2.75" customHeight="1" x14ac:dyDescent="0.2">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2.75" customHeight="1" x14ac:dyDescent="0.2">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2.75" customHeight="1" x14ac:dyDescent="0.2">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2.75" customHeight="1" x14ac:dyDescent="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2.75" customHeight="1" x14ac:dyDescent="0.2">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2.75" customHeight="1" x14ac:dyDescent="0.2">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2.75" customHeight="1" x14ac:dyDescent="0.2">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2.75" customHeight="1" x14ac:dyDescent="0.2">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2.75" customHeight="1" x14ac:dyDescent="0.2">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2.75" customHeight="1" x14ac:dyDescent="0.2">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2.75" customHeight="1" x14ac:dyDescent="0.2">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2.75" customHeight="1" x14ac:dyDescent="0.2">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2.75" customHeight="1" x14ac:dyDescent="0.2">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2.75" customHeight="1" x14ac:dyDescent="0.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2.75" customHeight="1" x14ac:dyDescent="0.2">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2.75" customHeight="1" x14ac:dyDescent="0.2">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2.75" customHeight="1" x14ac:dyDescent="0.2">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2.75" customHeight="1" x14ac:dyDescent="0.2">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2.75" customHeight="1" x14ac:dyDescent="0.2">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2.75" customHeight="1" x14ac:dyDescent="0.2">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2.75" customHeight="1" x14ac:dyDescent="0.2">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2.75" customHeight="1" x14ac:dyDescent="0.2">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2.75" customHeight="1" x14ac:dyDescent="0.2">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2.75" customHeight="1" x14ac:dyDescent="0.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2.75" customHeight="1" x14ac:dyDescent="0.2">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2.75" customHeight="1" x14ac:dyDescent="0.2">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2.75" customHeight="1" x14ac:dyDescent="0.2">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2.75" customHeight="1" x14ac:dyDescent="0.2">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2.75" customHeight="1" x14ac:dyDescent="0.2">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2.75" customHeight="1" x14ac:dyDescent="0.2">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2.75" customHeight="1" x14ac:dyDescent="0.2">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2.75" customHeight="1" x14ac:dyDescent="0.2">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2.75" customHeight="1" x14ac:dyDescent="0.2">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2.75" customHeight="1" x14ac:dyDescent="0.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2.75" customHeight="1" x14ac:dyDescent="0.2">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2.75" customHeight="1" x14ac:dyDescent="0.2">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2.75" customHeight="1" x14ac:dyDescent="0.2">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2.75" customHeight="1" x14ac:dyDescent="0.2">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2.75" customHeight="1" x14ac:dyDescent="0.2">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2.75" customHeight="1" x14ac:dyDescent="0.2">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2.75" customHeight="1" x14ac:dyDescent="0.2">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2.75" customHeight="1" x14ac:dyDescent="0.2">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2.75" customHeight="1" x14ac:dyDescent="0.2">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2.75" customHeight="1" x14ac:dyDescent="0.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2.75" customHeight="1" x14ac:dyDescent="0.2">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2.75" customHeight="1" x14ac:dyDescent="0.2">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2.75" customHeight="1" x14ac:dyDescent="0.2">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2.75" customHeight="1" x14ac:dyDescent="0.2">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2.75" customHeight="1" x14ac:dyDescent="0.2">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2.75" customHeight="1" x14ac:dyDescent="0.2">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2.75" customHeight="1" x14ac:dyDescent="0.2">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2.75" customHeight="1" x14ac:dyDescent="0.2">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2.75" customHeight="1" x14ac:dyDescent="0.2">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2.75" customHeight="1" x14ac:dyDescent="0.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2.75" customHeight="1" x14ac:dyDescent="0.2">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2.75" customHeight="1" x14ac:dyDescent="0.2">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2.75" customHeight="1" x14ac:dyDescent="0.2">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2.75" customHeight="1" x14ac:dyDescent="0.2">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2.75" customHeight="1" x14ac:dyDescent="0.2">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2.75" customHeight="1" x14ac:dyDescent="0.2">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2.75" customHeight="1" x14ac:dyDescent="0.2">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2.75" customHeight="1" x14ac:dyDescent="0.2">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2.75" customHeight="1" x14ac:dyDescent="0.2">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2.75" customHeight="1" x14ac:dyDescent="0.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2.75" customHeight="1" x14ac:dyDescent="0.2">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2.75" customHeight="1" x14ac:dyDescent="0.2">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2.75" customHeight="1" x14ac:dyDescent="0.2">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2.75" customHeight="1" x14ac:dyDescent="0.2">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2.75" customHeight="1" x14ac:dyDescent="0.2">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2.75" customHeight="1" x14ac:dyDescent="0.2">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2.75" customHeight="1" x14ac:dyDescent="0.2">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2.75" customHeight="1" x14ac:dyDescent="0.2">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2.75" customHeight="1" x14ac:dyDescent="0.2">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2.75" customHeight="1" x14ac:dyDescent="0.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2.75" customHeight="1" x14ac:dyDescent="0.2">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2.75" customHeight="1" x14ac:dyDescent="0.2">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2.75" customHeight="1" x14ac:dyDescent="0.2">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2.75" customHeight="1" x14ac:dyDescent="0.2">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2.75" customHeight="1" x14ac:dyDescent="0.2">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2.75" customHeight="1" x14ac:dyDescent="0.2">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2.75" customHeight="1" x14ac:dyDescent="0.2">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2.75" customHeight="1" x14ac:dyDescent="0.2">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2.75" customHeight="1" x14ac:dyDescent="0.2">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2.75" customHeight="1" x14ac:dyDescent="0.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2.75" customHeight="1" x14ac:dyDescent="0.2">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2.75" customHeight="1" x14ac:dyDescent="0.2">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2.75" customHeight="1" x14ac:dyDescent="0.2">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2.75" customHeight="1" x14ac:dyDescent="0.2">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2.75" customHeight="1" x14ac:dyDescent="0.2">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2.75" customHeight="1" x14ac:dyDescent="0.2">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2.75" customHeight="1" x14ac:dyDescent="0.2">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2.75" customHeight="1" x14ac:dyDescent="0.2">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2.75" customHeight="1" x14ac:dyDescent="0.2">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2.75" customHeight="1" x14ac:dyDescent="0.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2.75" customHeight="1" x14ac:dyDescent="0.2">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2.75" customHeight="1" x14ac:dyDescent="0.2">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2.75" customHeight="1" x14ac:dyDescent="0.2">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2.75" customHeight="1" x14ac:dyDescent="0.2">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2.75" customHeight="1" x14ac:dyDescent="0.2">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2.75" customHeight="1" x14ac:dyDescent="0.2">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2.75" customHeight="1"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2.75" customHeight="1"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89">
    <mergeCell ref="G16:H16"/>
    <mergeCell ref="G17:H17"/>
    <mergeCell ref="A21:A25"/>
    <mergeCell ref="A26:A30"/>
    <mergeCell ref="E26:F26"/>
    <mergeCell ref="G26:H26"/>
    <mergeCell ref="E27:F27"/>
    <mergeCell ref="G27:H27"/>
    <mergeCell ref="E28:F28"/>
    <mergeCell ref="G28:H28"/>
    <mergeCell ref="E30:F30"/>
    <mergeCell ref="A31:A35"/>
    <mergeCell ref="E31:F31"/>
    <mergeCell ref="E32:F32"/>
    <mergeCell ref="E33:F33"/>
    <mergeCell ref="E34:F34"/>
    <mergeCell ref="E35:F35"/>
    <mergeCell ref="B42:D42"/>
    <mergeCell ref="E42:F42"/>
    <mergeCell ref="B43:H43"/>
    <mergeCell ref="A44:A45"/>
    <mergeCell ref="B44:E45"/>
    <mergeCell ref="G44:G45"/>
    <mergeCell ref="H44:I45"/>
    <mergeCell ref="A37:A43"/>
    <mergeCell ref="B37:D37"/>
    <mergeCell ref="B39:D39"/>
    <mergeCell ref="E39:F39"/>
    <mergeCell ref="B40:D40"/>
    <mergeCell ref="E40:F40"/>
    <mergeCell ref="B41:D41"/>
    <mergeCell ref="E41:F41"/>
    <mergeCell ref="G34:H34"/>
    <mergeCell ref="G35:H35"/>
    <mergeCell ref="E37:F37"/>
    <mergeCell ref="B38:D38"/>
    <mergeCell ref="E38:F38"/>
    <mergeCell ref="B36:I36"/>
    <mergeCell ref="G30:H30"/>
    <mergeCell ref="G31:H31"/>
    <mergeCell ref="G32:H32"/>
    <mergeCell ref="G33:H33"/>
    <mergeCell ref="E23:F23"/>
    <mergeCell ref="G23:H23"/>
    <mergeCell ref="E24:F24"/>
    <mergeCell ref="G24:H24"/>
    <mergeCell ref="E25:F25"/>
    <mergeCell ref="G25:H25"/>
    <mergeCell ref="E29:F29"/>
    <mergeCell ref="G29:H29"/>
    <mergeCell ref="E20:F20"/>
    <mergeCell ref="G20:H20"/>
    <mergeCell ref="G21:H21"/>
    <mergeCell ref="E22:F22"/>
    <mergeCell ref="G22:H22"/>
    <mergeCell ref="E21:F21"/>
    <mergeCell ref="A10:A15"/>
    <mergeCell ref="E18:F18"/>
    <mergeCell ref="G18:H18"/>
    <mergeCell ref="E19:F19"/>
    <mergeCell ref="G19:H19"/>
    <mergeCell ref="E17:F17"/>
    <mergeCell ref="E16:F16"/>
    <mergeCell ref="E12:F12"/>
    <mergeCell ref="G12:H12"/>
    <mergeCell ref="E13:F13"/>
    <mergeCell ref="G13:H13"/>
    <mergeCell ref="E14:F14"/>
    <mergeCell ref="G14:H14"/>
    <mergeCell ref="E15:F15"/>
    <mergeCell ref="G15:H15"/>
    <mergeCell ref="A16:A20"/>
    <mergeCell ref="B4:I4"/>
    <mergeCell ref="H5:I5"/>
    <mergeCell ref="D10:F10"/>
    <mergeCell ref="G10:H10"/>
    <mergeCell ref="E11:F11"/>
    <mergeCell ref="G11:H11"/>
    <mergeCell ref="B5:F5"/>
    <mergeCell ref="B6:F6"/>
    <mergeCell ref="H6:I6"/>
    <mergeCell ref="B7:I7"/>
    <mergeCell ref="B8:I8"/>
    <mergeCell ref="B9:I9"/>
    <mergeCell ref="A1:C3"/>
    <mergeCell ref="D1:G1"/>
    <mergeCell ref="H1:I3"/>
    <mergeCell ref="D2:G2"/>
    <mergeCell ref="D3:G3"/>
  </mergeCells>
  <pageMargins left="0.25" right="0.25" top="0.75" bottom="0.75" header="0" footer="0"/>
  <pageSetup paperSize="9"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Ingrese el tipo de evaluación" xr:uid="{00000000-0002-0000-1000-000000000000}">
          <x14:formula1>
            <xm:f>'LISTAS-OCULTAR'!$A$1:$A$4</xm:f>
          </x14:formula1>
          <xm:sqref>I11:I12 I14:I35</xm:sqref>
        </x14:dataValidation>
        <x14:dataValidation type="list" allowBlank="1" showErrorMessage="1" xr:uid="{00000000-0002-0000-1000-000001000000}">
          <x14:formula1>
            <xm:f>'LISTAS-OCULTAR'!$A$1:$A$3</xm:f>
          </x14:formula1>
          <xm:sqref>B38:B42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showGridLines="0" workbookViewId="0"/>
  </sheetViews>
  <sheetFormatPr baseColWidth="10" defaultColWidth="12.5703125" defaultRowHeight="15" customHeight="1" x14ac:dyDescent="0.2"/>
  <cols>
    <col min="1" max="1" width="25.140625" customWidth="1"/>
    <col min="2" max="4" width="14.7109375" customWidth="1"/>
    <col min="5" max="7" width="22.42578125" customWidth="1"/>
  </cols>
  <sheetData>
    <row r="1" spans="1:26" ht="64.5" customHeight="1" x14ac:dyDescent="0.2">
      <c r="A1" s="116"/>
      <c r="B1" s="91"/>
      <c r="C1" s="91"/>
      <c r="D1" s="91"/>
      <c r="E1" s="91"/>
      <c r="F1" s="91"/>
      <c r="G1" s="92"/>
      <c r="H1" s="78"/>
      <c r="I1" s="78"/>
      <c r="J1" s="79"/>
      <c r="K1" s="79"/>
      <c r="L1" s="79"/>
      <c r="M1" s="79"/>
      <c r="N1" s="79"/>
      <c r="O1" s="79"/>
      <c r="P1" s="79"/>
      <c r="Q1" s="79"/>
      <c r="R1" s="79"/>
      <c r="S1" s="79"/>
      <c r="T1" s="79"/>
      <c r="U1" s="79"/>
      <c r="V1" s="79"/>
    </row>
    <row r="2" spans="1:26" ht="27.75" customHeight="1" x14ac:dyDescent="0.2">
      <c r="A2" s="116" t="s">
        <v>1</v>
      </c>
      <c r="B2" s="91"/>
      <c r="C2" s="91"/>
      <c r="D2" s="91"/>
      <c r="E2" s="91"/>
      <c r="F2" s="91"/>
      <c r="G2" s="92"/>
      <c r="H2" s="78"/>
      <c r="I2" s="78"/>
      <c r="J2" s="79"/>
      <c r="K2" s="79"/>
      <c r="L2" s="79"/>
      <c r="M2" s="79"/>
      <c r="N2" s="79"/>
      <c r="O2" s="79"/>
      <c r="P2" s="79"/>
      <c r="Q2" s="79"/>
      <c r="R2" s="79"/>
      <c r="S2" s="79"/>
      <c r="T2" s="79"/>
      <c r="U2" s="79"/>
      <c r="V2" s="79"/>
    </row>
    <row r="3" spans="1:26" ht="27.75" customHeight="1" x14ac:dyDescent="0.2">
      <c r="A3" s="117" t="s">
        <v>0</v>
      </c>
      <c r="B3" s="91"/>
      <c r="C3" s="91"/>
      <c r="D3" s="91"/>
      <c r="E3" s="91"/>
      <c r="F3" s="91"/>
      <c r="G3" s="92"/>
      <c r="H3" s="78"/>
      <c r="I3" s="78"/>
      <c r="J3" s="79"/>
      <c r="K3" s="79"/>
      <c r="L3" s="79"/>
      <c r="M3" s="79"/>
      <c r="N3" s="79"/>
      <c r="O3" s="79"/>
      <c r="P3" s="79"/>
      <c r="Q3" s="79"/>
      <c r="R3" s="79"/>
      <c r="S3" s="79"/>
      <c r="T3" s="79"/>
      <c r="U3" s="79"/>
      <c r="V3" s="79"/>
    </row>
    <row r="4" spans="1:26" ht="27.75" customHeight="1" x14ac:dyDescent="0.2">
      <c r="A4" s="118" t="s">
        <v>357</v>
      </c>
      <c r="B4" s="91"/>
      <c r="C4" s="91"/>
      <c r="D4" s="91"/>
      <c r="E4" s="91"/>
      <c r="F4" s="91"/>
      <c r="G4" s="92"/>
      <c r="H4" s="78"/>
      <c r="I4" s="78"/>
      <c r="J4" s="79"/>
      <c r="K4" s="79"/>
      <c r="L4" s="79"/>
      <c r="M4" s="79"/>
      <c r="N4" s="79"/>
      <c r="O4" s="79"/>
      <c r="P4" s="79"/>
      <c r="Q4" s="79"/>
      <c r="R4" s="79"/>
      <c r="S4" s="79"/>
      <c r="T4" s="79"/>
      <c r="U4" s="79"/>
      <c r="V4" s="79"/>
    </row>
    <row r="5" spans="1:26" ht="15.75" customHeight="1" x14ac:dyDescent="0.2">
      <c r="A5" s="80" t="s">
        <v>358</v>
      </c>
      <c r="B5" s="81" t="s">
        <v>359</v>
      </c>
      <c r="C5" s="81" t="s">
        <v>360</v>
      </c>
      <c r="D5" s="81" t="s">
        <v>361</v>
      </c>
      <c r="E5" s="81" t="s">
        <v>362</v>
      </c>
      <c r="F5" s="81" t="s">
        <v>363</v>
      </c>
      <c r="G5" s="81" t="s">
        <v>364</v>
      </c>
      <c r="H5" s="79"/>
      <c r="I5" s="79"/>
      <c r="J5" s="79"/>
      <c r="K5" s="79"/>
      <c r="L5" s="79"/>
      <c r="M5" s="79"/>
      <c r="N5" s="79"/>
      <c r="O5" s="79"/>
      <c r="P5" s="79"/>
      <c r="Q5" s="79"/>
      <c r="R5" s="79"/>
      <c r="S5" s="79"/>
      <c r="T5" s="79"/>
      <c r="U5" s="79"/>
      <c r="V5" s="79"/>
      <c r="W5" s="79"/>
      <c r="X5" s="79"/>
      <c r="Y5" s="79"/>
      <c r="Z5" s="79"/>
    </row>
    <row r="6" spans="1:26" ht="15.75" customHeight="1" x14ac:dyDescent="0.2">
      <c r="A6" s="80" t="str">
        <f>+'RESUMEN DIPLOMADO'!B10</f>
        <v>MÓDULO 1. FUNDAMENTOS DE BIG DATA E INTELIGENCIA ARTIFICIAL</v>
      </c>
      <c r="B6" s="82">
        <v>20</v>
      </c>
      <c r="C6" s="82">
        <v>5</v>
      </c>
      <c r="D6" s="81">
        <f t="shared" ref="D6:D13" si="0">SUM(B6:C6)</f>
        <v>25</v>
      </c>
      <c r="E6" s="82" t="s">
        <v>365</v>
      </c>
      <c r="F6" s="83">
        <v>46174</v>
      </c>
      <c r="G6" s="84">
        <v>46183</v>
      </c>
      <c r="H6" s="79"/>
      <c r="I6" s="79"/>
      <c r="J6" s="79"/>
      <c r="K6" s="79"/>
      <c r="L6" s="79"/>
      <c r="M6" s="79"/>
      <c r="N6" s="79"/>
      <c r="O6" s="79"/>
      <c r="P6" s="79"/>
      <c r="Q6" s="79"/>
      <c r="R6" s="79"/>
      <c r="S6" s="79"/>
      <c r="T6" s="79"/>
      <c r="U6" s="79"/>
      <c r="V6" s="79"/>
      <c r="W6" s="79"/>
      <c r="X6" s="79"/>
      <c r="Y6" s="79"/>
      <c r="Z6" s="79"/>
    </row>
    <row r="7" spans="1:26" ht="15.75" customHeight="1" x14ac:dyDescent="0.2">
      <c r="A7" s="80" t="str">
        <f>+'RESUMEN DIPLOMADO'!E10</f>
        <v>MÓDULO 2. PROGRAMACIÓN Y GESTIÓN DE DATOS MASIVOS</v>
      </c>
      <c r="B7" s="82"/>
      <c r="C7" s="82"/>
      <c r="D7" s="81">
        <f t="shared" si="0"/>
        <v>0</v>
      </c>
      <c r="E7" s="82"/>
      <c r="F7" s="83"/>
      <c r="G7" s="83"/>
      <c r="H7" s="79"/>
      <c r="I7" s="79"/>
      <c r="J7" s="79"/>
      <c r="K7" s="79"/>
      <c r="L7" s="79"/>
      <c r="M7" s="79"/>
      <c r="N7" s="79"/>
      <c r="O7" s="79"/>
      <c r="P7" s="79"/>
      <c r="Q7" s="79"/>
      <c r="R7" s="79"/>
      <c r="S7" s="79"/>
      <c r="T7" s="79"/>
      <c r="U7" s="79"/>
      <c r="V7" s="79"/>
      <c r="W7" s="79"/>
      <c r="X7" s="79"/>
      <c r="Y7" s="79"/>
      <c r="Z7" s="79"/>
    </row>
    <row r="8" spans="1:26" ht="15.75" customHeight="1" x14ac:dyDescent="0.2">
      <c r="A8" s="80" t="str">
        <f>+'RESUMEN DIPLOMADO'!H10</f>
        <v>MÓDULO 3. MACHINE LEARNING APLICADO</v>
      </c>
      <c r="B8" s="82"/>
      <c r="C8" s="82"/>
      <c r="D8" s="81">
        <f t="shared" si="0"/>
        <v>0</v>
      </c>
      <c r="E8" s="82"/>
      <c r="F8" s="84"/>
      <c r="G8" s="83"/>
      <c r="H8" s="79"/>
      <c r="I8" s="79"/>
      <c r="J8" s="79"/>
      <c r="K8" s="79"/>
      <c r="L8" s="79"/>
      <c r="M8" s="79"/>
      <c r="N8" s="79"/>
      <c r="O8" s="79"/>
      <c r="P8" s="79"/>
      <c r="Q8" s="79"/>
      <c r="R8" s="79"/>
      <c r="S8" s="79"/>
      <c r="T8" s="79"/>
      <c r="U8" s="79"/>
      <c r="V8" s="79"/>
      <c r="W8" s="79"/>
      <c r="X8" s="79"/>
      <c r="Y8" s="79"/>
      <c r="Z8" s="79"/>
    </row>
    <row r="9" spans="1:26" ht="15.75" customHeight="1" x14ac:dyDescent="0.2">
      <c r="A9" s="80" t="str">
        <f>+'RESUMEN DIPLOMADO'!K10</f>
        <v>MÓDULO 4. IA PARA AUTOMATIZACIÓN Y RECOLECCIÓN DE DATOS</v>
      </c>
      <c r="B9" s="85"/>
      <c r="C9" s="85"/>
      <c r="D9" s="81">
        <f t="shared" si="0"/>
        <v>0</v>
      </c>
      <c r="E9" s="85"/>
      <c r="F9" s="86"/>
      <c r="G9" s="87"/>
      <c r="H9" s="79"/>
      <c r="I9" s="79"/>
      <c r="J9" s="79"/>
      <c r="K9" s="79"/>
      <c r="L9" s="79"/>
      <c r="M9" s="79"/>
      <c r="N9" s="79"/>
      <c r="O9" s="79"/>
      <c r="P9" s="79"/>
      <c r="Q9" s="79"/>
      <c r="R9" s="79"/>
      <c r="S9" s="79"/>
      <c r="T9" s="79"/>
      <c r="U9" s="79"/>
      <c r="V9" s="79"/>
      <c r="W9" s="79"/>
      <c r="X9" s="79"/>
      <c r="Y9" s="79"/>
      <c r="Z9" s="79"/>
    </row>
    <row r="10" spans="1:26" ht="15.75" customHeight="1" x14ac:dyDescent="0.2">
      <c r="A10" s="88" t="str">
        <f>+'MODULO 5'!B5</f>
        <v>MÓDULO 5. ECONOMETRÍA Y FORECASTING CON IA</v>
      </c>
      <c r="B10" s="89"/>
      <c r="C10" s="89"/>
      <c r="D10" s="81">
        <f t="shared" si="0"/>
        <v>0</v>
      </c>
      <c r="E10" s="89"/>
      <c r="F10" s="89"/>
      <c r="G10" s="89"/>
      <c r="H10" s="79"/>
      <c r="I10" s="79"/>
      <c r="J10" s="79"/>
      <c r="K10" s="79"/>
      <c r="L10" s="79"/>
      <c r="M10" s="79"/>
      <c r="N10" s="79"/>
      <c r="O10" s="79"/>
      <c r="P10" s="79"/>
      <c r="Q10" s="79"/>
      <c r="R10" s="79"/>
      <c r="S10" s="79"/>
      <c r="T10" s="79"/>
      <c r="U10" s="79"/>
      <c r="V10" s="79"/>
      <c r="W10" s="79"/>
      <c r="X10" s="79"/>
      <c r="Y10" s="79"/>
      <c r="Z10" s="79"/>
    </row>
    <row r="11" spans="1:26" ht="15.75" customHeight="1" x14ac:dyDescent="0.2">
      <c r="A11" s="88" t="str">
        <f>+'MODULO 6'!B5</f>
        <v>MÓDULO 6. MODELOS AVANZADOS DE IA Y APLICACIONES ECONÓMICAS</v>
      </c>
      <c r="B11" s="89"/>
      <c r="C11" s="89"/>
      <c r="D11" s="81">
        <f t="shared" si="0"/>
        <v>0</v>
      </c>
      <c r="E11" s="89"/>
      <c r="F11" s="89"/>
      <c r="G11" s="89"/>
      <c r="H11" s="79"/>
      <c r="I11" s="79"/>
      <c r="J11" s="79"/>
      <c r="K11" s="79"/>
      <c r="L11" s="79"/>
      <c r="M11" s="79"/>
      <c r="N11" s="79"/>
      <c r="O11" s="79"/>
      <c r="P11" s="79"/>
      <c r="Q11" s="79"/>
      <c r="R11" s="79"/>
      <c r="S11" s="79"/>
      <c r="T11" s="79"/>
      <c r="U11" s="79"/>
      <c r="V11" s="79"/>
      <c r="W11" s="79"/>
      <c r="X11" s="79"/>
      <c r="Y11" s="79"/>
      <c r="Z11" s="79"/>
    </row>
    <row r="12" spans="1:26" ht="81" customHeight="1" x14ac:dyDescent="0.2">
      <c r="A12" s="88">
        <f>+'MODULO 7'!B5</f>
        <v>0</v>
      </c>
      <c r="B12" s="89"/>
      <c r="C12" s="89"/>
      <c r="D12" s="81">
        <f t="shared" si="0"/>
        <v>0</v>
      </c>
      <c r="E12" s="89"/>
      <c r="F12" s="89"/>
      <c r="G12" s="89"/>
      <c r="H12" s="79"/>
      <c r="I12" s="79"/>
      <c r="J12" s="79"/>
      <c r="K12" s="79"/>
      <c r="L12" s="79"/>
      <c r="M12" s="79"/>
      <c r="N12" s="79"/>
      <c r="O12" s="79"/>
      <c r="P12" s="79"/>
      <c r="Q12" s="79"/>
      <c r="R12" s="79"/>
      <c r="S12" s="79"/>
      <c r="T12" s="79"/>
      <c r="U12" s="79"/>
      <c r="V12" s="79"/>
      <c r="W12" s="79"/>
      <c r="X12" s="79"/>
      <c r="Y12" s="79"/>
      <c r="Z12" s="79"/>
    </row>
    <row r="13" spans="1:26" ht="118.5" customHeight="1" x14ac:dyDescent="0.2">
      <c r="A13" s="88">
        <f>+'MODULO 8'!B5</f>
        <v>0</v>
      </c>
      <c r="B13" s="89"/>
      <c r="C13" s="89"/>
      <c r="D13" s="81">
        <f t="shared" si="0"/>
        <v>0</v>
      </c>
      <c r="E13" s="89"/>
      <c r="F13" s="89"/>
      <c r="G13" s="89"/>
      <c r="H13" s="79"/>
      <c r="I13" s="79"/>
      <c r="J13" s="79"/>
      <c r="K13" s="79"/>
      <c r="L13" s="79"/>
      <c r="M13" s="79"/>
      <c r="N13" s="79"/>
      <c r="O13" s="79"/>
      <c r="P13" s="79"/>
      <c r="Q13" s="79"/>
      <c r="R13" s="79"/>
      <c r="S13" s="79"/>
      <c r="T13" s="79"/>
      <c r="U13" s="79"/>
      <c r="V13" s="79"/>
      <c r="W13" s="79"/>
      <c r="X13" s="79"/>
      <c r="Y13" s="79"/>
      <c r="Z13" s="79"/>
    </row>
    <row r="14" spans="1:26" ht="15.75" customHeight="1" x14ac:dyDescent="0.2">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5.75" customHeight="1" x14ac:dyDescent="0.2">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spans="1:26" ht="15.75" customHeight="1" x14ac:dyDescent="0.2">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spans="1:26" ht="15.75" customHeight="1" x14ac:dyDescent="0.2">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spans="1:26" ht="15.75" customHeight="1" x14ac:dyDescent="0.2">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5.75" customHeight="1" x14ac:dyDescent="0.2">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5.75" customHeight="1" x14ac:dyDescent="0.2">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5.75" customHeight="1" x14ac:dyDescent="0.2">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5.75" customHeight="1" x14ac:dyDescent="0.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spans="1:26" ht="15.75" customHeight="1" x14ac:dyDescent="0.2">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5.75" customHeight="1" x14ac:dyDescent="0.2">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5.75" customHeight="1" x14ac:dyDescent="0.2">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5.75" customHeight="1" x14ac:dyDescent="0.2">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spans="1:26" ht="15.75" customHeight="1" x14ac:dyDescent="0.2">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5.75" customHeight="1" x14ac:dyDescent="0.2">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spans="1:26" ht="15.75" customHeight="1" x14ac:dyDescent="0.2">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spans="1:26" ht="15.75" customHeight="1" x14ac:dyDescent="0.2">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spans="1:26" ht="15.75" customHeight="1" x14ac:dyDescent="0.2">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spans="1:26" ht="15.75" customHeight="1" x14ac:dyDescent="0.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spans="1:26" ht="15.75" customHeight="1" x14ac:dyDescent="0.2">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5.75" customHeight="1" x14ac:dyDescent="0.2">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spans="1:26" ht="15.75" customHeight="1" x14ac:dyDescent="0.2">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15.75" customHeight="1" x14ac:dyDescent="0.2">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15.75" customHeight="1" x14ac:dyDescent="0.2">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15.75" customHeight="1" x14ac:dyDescent="0.2">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15.75" customHeight="1" x14ac:dyDescent="0.2">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15.75" customHeight="1" x14ac:dyDescent="0.2">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5.75" customHeight="1" x14ac:dyDescent="0.2">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5.75" customHeight="1" x14ac:dyDescent="0.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5.75" customHeight="1" x14ac:dyDescent="0.2">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15.75" customHeight="1" x14ac:dyDescent="0.2">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15.75" customHeight="1" x14ac:dyDescent="0.2">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15.75" customHeight="1" x14ac:dyDescent="0.2">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15.75" customHeight="1" x14ac:dyDescent="0.2">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15.75" customHeight="1" x14ac:dyDescent="0.2">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15.75" customHeight="1" x14ac:dyDescent="0.2">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15.75" customHeight="1" x14ac:dyDescent="0.2">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15.75" customHeight="1" x14ac:dyDescent="0.2">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15.75" customHeight="1" x14ac:dyDescent="0.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5.75" customHeight="1" x14ac:dyDescent="0.2">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5.75" customHeight="1" x14ac:dyDescent="0.2">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5.75" customHeight="1" x14ac:dyDescent="0.2">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5.75" customHeight="1" x14ac:dyDescent="0.2">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5.75" customHeight="1" x14ac:dyDescent="0.2">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5.75" customHeight="1" x14ac:dyDescent="0.2">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5.75" customHeight="1" x14ac:dyDescent="0.2">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5.75" customHeight="1" x14ac:dyDescent="0.2">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5.75" customHeight="1" x14ac:dyDescent="0.2">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5.75"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5.75" customHeight="1" x14ac:dyDescent="0.2">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5.75"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5.75" customHeight="1" x14ac:dyDescent="0.2">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5.75"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5.75"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5.75"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5.75"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5.75"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5.75"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5.75"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5.75"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5.75" customHeight="1" x14ac:dyDescent="0.2">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5.75"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5.75"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5.75"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5.75"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5.75"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5.7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5.75"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5.75"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5.75"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5.75" customHeight="1" x14ac:dyDescent="0.2">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5.75"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5.75"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5.75" customHeight="1" x14ac:dyDescent="0.2">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5.75"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5.75"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5.75"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5.75"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5.75" customHeight="1" x14ac:dyDescent="0.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5.75"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5.75"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5.75"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5.75"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5.75"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5.75"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5.75" customHeight="1" x14ac:dyDescent="0.2">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5.75"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5.75"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5.75"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5.75"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5.75"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5.75"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5.75"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5.75"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5.75"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5.75"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5.75"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5.75"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5.75"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5.75"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5.7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5.75"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5.75"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5.75"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5.7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5.75"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5.75"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5.75"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5.75"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5.75"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5.75"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5.75"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5.75"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5.75"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5.75"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5.75"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5.75"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5.75"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5.75" customHeight="1" x14ac:dyDescent="0.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5.75" customHeight="1" x14ac:dyDescent="0.2">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5.75" customHeight="1" x14ac:dyDescent="0.2">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5.75" customHeight="1" x14ac:dyDescent="0.2">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5.75" customHeight="1" x14ac:dyDescent="0.2">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5.75" customHeight="1" x14ac:dyDescent="0.2">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5.75" customHeight="1" x14ac:dyDescent="0.2">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5.75" customHeight="1" x14ac:dyDescent="0.2">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5.75" customHeight="1" x14ac:dyDescent="0.2">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5.75" customHeight="1" x14ac:dyDescent="0.2">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5.75" customHeight="1" x14ac:dyDescent="0.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5.75" customHeight="1" x14ac:dyDescent="0.2">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5.75" customHeight="1" x14ac:dyDescent="0.2">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5.75" customHeight="1" x14ac:dyDescent="0.2">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5.75" customHeight="1" x14ac:dyDescent="0.2">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5.75" customHeight="1" x14ac:dyDescent="0.2">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5.75" customHeight="1" x14ac:dyDescent="0.2">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5.75" customHeight="1" x14ac:dyDescent="0.2">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5.75" customHeight="1" x14ac:dyDescent="0.2">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5.75" customHeight="1" x14ac:dyDescent="0.2">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5.75" customHeight="1" x14ac:dyDescent="0.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5.75" customHeight="1" x14ac:dyDescent="0.2">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5.75" customHeight="1" x14ac:dyDescent="0.2">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5.75" customHeight="1" x14ac:dyDescent="0.2">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5.75" customHeight="1" x14ac:dyDescent="0.2">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5.75" customHeight="1" x14ac:dyDescent="0.2">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5.75" customHeight="1" x14ac:dyDescent="0.2">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5.75" customHeight="1" x14ac:dyDescent="0.2">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5.75" customHeight="1" x14ac:dyDescent="0.2">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5.75" customHeight="1" x14ac:dyDescent="0.2">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5.75" customHeight="1" x14ac:dyDescent="0.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5.75" customHeight="1" x14ac:dyDescent="0.2">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5.75" customHeight="1" x14ac:dyDescent="0.2">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5.75" customHeight="1" x14ac:dyDescent="0.2">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5.75" customHeight="1" x14ac:dyDescent="0.2">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5.75" customHeight="1" x14ac:dyDescent="0.2">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5.75" customHeight="1" x14ac:dyDescent="0.2">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5.75" customHeight="1" x14ac:dyDescent="0.2">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5.75" customHeight="1" x14ac:dyDescent="0.2">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5.75" customHeight="1" x14ac:dyDescent="0.2">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5.75" customHeight="1" x14ac:dyDescent="0.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5.75" customHeight="1" x14ac:dyDescent="0.2">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5.75" customHeight="1" x14ac:dyDescent="0.2">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5.75" customHeight="1" x14ac:dyDescent="0.2">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5.75" customHeight="1" x14ac:dyDescent="0.2">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5.75" customHeight="1" x14ac:dyDescent="0.2">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5.75" customHeight="1" x14ac:dyDescent="0.2">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5.75" customHeight="1" x14ac:dyDescent="0.2">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5.75" customHeight="1" x14ac:dyDescent="0.2">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5.75" customHeight="1" x14ac:dyDescent="0.2">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5.75" customHeight="1" x14ac:dyDescent="0.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5.75" customHeight="1" x14ac:dyDescent="0.2">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5.75" customHeight="1" x14ac:dyDescent="0.2">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5.75" customHeight="1" x14ac:dyDescent="0.2">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5.75" customHeight="1" x14ac:dyDescent="0.2">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5.75" customHeight="1" x14ac:dyDescent="0.2">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5.75" customHeight="1" x14ac:dyDescent="0.2">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5.75" customHeight="1" x14ac:dyDescent="0.2">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5.75" customHeight="1" x14ac:dyDescent="0.2">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5.75" customHeight="1" x14ac:dyDescent="0.2">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5.75" customHeight="1" x14ac:dyDescent="0.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5.75" customHeight="1" x14ac:dyDescent="0.2">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5.75" customHeight="1" x14ac:dyDescent="0.2">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5.75" customHeight="1" x14ac:dyDescent="0.2">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5.75" customHeight="1" x14ac:dyDescent="0.2">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5.75" customHeight="1" x14ac:dyDescent="0.2">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5.75" customHeight="1" x14ac:dyDescent="0.2">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5.75" customHeight="1" x14ac:dyDescent="0.2">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5.75" customHeight="1" x14ac:dyDescent="0.2">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5.75" customHeight="1" x14ac:dyDescent="0.2">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5.75" customHeight="1" x14ac:dyDescent="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5.75" customHeight="1" x14ac:dyDescent="0.2">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5.75" customHeight="1" x14ac:dyDescent="0.2">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5.75" customHeight="1" x14ac:dyDescent="0.2">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5.75" customHeight="1" x14ac:dyDescent="0.2">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5.75" customHeight="1" x14ac:dyDescent="0.2">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5.75" customHeight="1" x14ac:dyDescent="0.2">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5.75" customHeight="1" x14ac:dyDescent="0.2">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5.75" customHeight="1" x14ac:dyDescent="0.2">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5.75" customHeight="1" x14ac:dyDescent="0.2">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5.75" customHeight="1" x14ac:dyDescent="0.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5.75" customHeight="1" x14ac:dyDescent="0.2">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5.75" customHeight="1" x14ac:dyDescent="0.2">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5.75" customHeight="1" x14ac:dyDescent="0.2">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5.75" customHeight="1" x14ac:dyDescent="0.2">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5.75" customHeight="1" x14ac:dyDescent="0.2">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5.75" customHeight="1" x14ac:dyDescent="0.2">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5.75" customHeight="1" x14ac:dyDescent="0.2">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5.75" customHeight="1" x14ac:dyDescent="0.2">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G1"/>
    <mergeCell ref="A2:G2"/>
    <mergeCell ref="A3:G3"/>
    <mergeCell ref="A4:G4"/>
  </mergeCells>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1000"/>
  <sheetViews>
    <sheetView showGridLines="0" workbookViewId="0"/>
  </sheetViews>
  <sheetFormatPr baseColWidth="10" defaultColWidth="12.5703125" defaultRowHeight="15" customHeight="1" x14ac:dyDescent="0.2"/>
  <cols>
    <col min="1" max="26" width="10.5703125" customWidth="1"/>
  </cols>
  <sheetData>
    <row r="1" spans="1:1" ht="12.75" customHeight="1" x14ac:dyDescent="0.2">
      <c r="A1" s="67" t="s">
        <v>366</v>
      </c>
    </row>
    <row r="2" spans="1:1" ht="12.75" customHeight="1" x14ac:dyDescent="0.2">
      <c r="A2" s="67" t="s">
        <v>367</v>
      </c>
    </row>
    <row r="3" spans="1:1" ht="12.75" customHeight="1" x14ac:dyDescent="0.2">
      <c r="A3" s="67" t="s">
        <v>368</v>
      </c>
    </row>
    <row r="4" spans="1:1" ht="12.75" customHeight="1" x14ac:dyDescent="0.2"/>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RESUMEN DIPLOMADO</vt:lpstr>
      <vt:lpstr>MODULO 1 </vt:lpstr>
      <vt:lpstr>Plan de Clase M1</vt:lpstr>
      <vt:lpstr>MODULO 2 </vt:lpstr>
      <vt:lpstr>Plan de Clase M2</vt:lpstr>
      <vt:lpstr>MODULO 3</vt:lpstr>
      <vt:lpstr>Plan de Clase M3</vt:lpstr>
      <vt:lpstr>MODULO 4</vt:lpstr>
      <vt:lpstr>Plan de Clase M4</vt:lpstr>
      <vt:lpstr>MODULO 5</vt:lpstr>
      <vt:lpstr>Plan de Clase M5</vt:lpstr>
      <vt:lpstr>MODULO 6</vt:lpstr>
      <vt:lpstr>Plan de Clase M6</vt:lpstr>
      <vt:lpstr>MODULO 7</vt:lpstr>
      <vt:lpstr>Plan de Clase M7</vt:lpstr>
      <vt:lpstr>MODULO 8</vt:lpstr>
      <vt:lpstr>Plan de Clase M8</vt:lpstr>
      <vt:lpstr>Cronograma</vt:lpstr>
      <vt:lpstr>LISTAS-OCULTAR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Maldonado</dc:creator>
  <cp:lastModifiedBy>JONATHAN ANDRES ROSERO SOTO</cp:lastModifiedBy>
  <dcterms:created xsi:type="dcterms:W3CDTF">2025-09-09T15:24:04Z</dcterms:created>
  <dcterms:modified xsi:type="dcterms:W3CDTF">2026-10-13T01:15:09Z</dcterms:modified>
</cp:coreProperties>
</file>